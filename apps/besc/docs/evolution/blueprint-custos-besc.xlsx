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nhas de custo" sheetId="1" state="visible" r:id="rId3"/>
    <sheet name="Cenários" sheetId="2" state="visible" r:id="rId4"/>
    <sheet name="Cotações recebid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<sst xmlns="http://schemas.openxmlformats.org/spreadsheetml/2006/main" count="216" uniqueCount="149">
  <si>
    <t xml:space="preserve">Item</t>
  </si>
  <si>
    <t xml:space="preserve">Categoria</t>
  </si>
  <si>
    <t xml:space="preserve">Mín (R$)</t>
  </si>
  <si>
    <t xml:space="preserve">Máx (R$)</t>
  </si>
  <si>
    <t xml:space="preserve">Confiança</t>
  </si>
  <si>
    <t xml:space="preserve">Fonte</t>
  </si>
  <si>
    <t xml:space="preserve">Piloto</t>
  </si>
  <si>
    <t xml:space="preserve">Enxuto (88)</t>
  </si>
  <si>
    <t xml:space="preserve">Completo (FIDC)</t>
  </si>
  <si>
    <t xml:space="preserve">Parecer jurídico de enquadramento (is_security)</t>
  </si>
  <si>
    <t xml:space="preserve">Setup</t>
  </si>
  <si>
    <t xml:space="preserve">baixa</t>
  </si>
  <si>
    <t xml:space="preserve">Escritório mercado de capitais (cotar)</t>
  </si>
  <si>
    <t xml:space="preserve">Estruturação regulatória da oferta/veículo</t>
  </si>
  <si>
    <t xml:space="preserve">Advogado CVM (cotar)</t>
  </si>
  <si>
    <t xml:space="preserve">Estruturação inicial de FIDC</t>
  </si>
  <si>
    <t xml:space="preserve">média</t>
  </si>
  <si>
    <t xml:space="preserve">bankme.tech</t>
  </si>
  <si>
    <t xml:space="preserve">Auditoria de smart contract ERC-3643</t>
  </si>
  <si>
    <t xml:space="preserve">Ulam / Tokeny</t>
  </si>
  <si>
    <t xml:space="preserve">Programa LGPD (setup)</t>
  </si>
  <si>
    <t xml:space="preserve">inferência de mercado</t>
  </si>
  <si>
    <t xml:space="preserve">Programa PLD-FT/COAF (setup)</t>
  </si>
  <si>
    <t xml:space="preserve">Compliance Brazil</t>
  </si>
  <si>
    <t xml:space="preserve">Nós Besu permissionados (1–4 validadores)</t>
  </si>
  <si>
    <t xml:space="preserve">Recorrente-mês</t>
  </si>
  <si>
    <t xml:space="preserve">AWS / Besu docs</t>
  </si>
  <si>
    <t xml:space="preserve">Infra de produção (k8s + Postgres + backups)</t>
  </si>
  <si>
    <t xml:space="preserve">AWS pricing</t>
  </si>
  <si>
    <t xml:space="preserve">DPO as a service</t>
  </si>
  <si>
    <t xml:space="preserve">The Big Insights</t>
  </si>
  <si>
    <t xml:space="preserve">Compliance PLD-FT + KYC (mensalidade)</t>
  </si>
  <si>
    <t xml:space="preserve">inferência / RFP</t>
  </si>
  <si>
    <t xml:space="preserve">Auditoria anual do FIDC</t>
  </si>
  <si>
    <t xml:space="preserve">Recorrente-ano</t>
  </si>
  <si>
    <t xml:space="preserve">cotar</t>
  </si>
  <si>
    <t xml:space="preserve">Seguro E&amp;O + Cyber + D&amp;O</t>
  </si>
  <si>
    <t xml:space="preserve">BrSeguro / Rio Rubio</t>
  </si>
  <si>
    <t xml:space="preserve">Laudo / perícia de avaliação do direito</t>
  </si>
  <si>
    <t xml:space="preserve">Por-processo</t>
  </si>
  <si>
    <t xml:space="preserve">média/baixa</t>
  </si>
  <si>
    <t xml:space="preserve">CNJ Res. 232 / perito</t>
  </si>
  <si>
    <t xml:space="preserve">Parecer de certeza / exigibilidade (por caso)</t>
  </si>
  <si>
    <t xml:space="preserve">Custas cartorárias das cártulas</t>
  </si>
  <si>
    <t xml:space="preserve">média/alta</t>
  </si>
  <si>
    <t xml:space="preserve">ANOREG-SP 2025</t>
  </si>
  <si>
    <t xml:space="preserve">KYC do titular / investidor (por verificação)</t>
  </si>
  <si>
    <t xml:space="preserve">RFP (idwall/Unico/Serpro)</t>
  </si>
  <si>
    <t xml:space="preserve">Certificado ICP-Brasil (por titular/ano)</t>
  </si>
  <si>
    <t xml:space="preserve">alta</t>
  </si>
  <si>
    <t xml:space="preserve">Omie 2026</t>
  </si>
  <si>
    <t xml:space="preserve">Custódia — KMS (referência p/ o toggle)</t>
  </si>
  <si>
    <t xml:space="preserve">Referência</t>
  </si>
  <si>
    <t xml:space="preserve">AWS KMS</t>
  </si>
  <si>
    <t xml:space="preserve">Custódia — HSM dedicado (referência, ×2 HA)</t>
  </si>
  <si>
    <t xml:space="preserve">AWS CloudHSM</t>
  </si>
  <si>
    <t xml:space="preserve">Faixas de mercado (jul/2026) — ESTIMATIVA a validar por cotação. Regulação em movimento (VASP fev/2026; CVM 88 em reforma). Custódia KMS/HSM são referências usadas pelo toggle da aba Cenários.</t>
  </si>
  <si>
    <t xml:space="preserve">Fluxo de cotação: quando a proposta de um RFP chegar, substitua Mín/Máx desta aba pelo valor cotado e marque Confiança='cotado', Fonte=&lt;fornecedor&gt;. Registre a proposta na aba 'Cotações recebidas'. Ver o pacote em docs/evolution/rfp/.</t>
  </si>
  <si>
    <t xml:space="preserve">Blueprint de custos BESC — calculadora de cenário</t>
  </si>
  <si>
    <t xml:space="preserve">Edite as células AMARELAS. Todo o resto recalcula sozinho. Números são faixas — validar por cotação.</t>
  </si>
  <si>
    <t xml:space="preserve">Premissas</t>
  </si>
  <si>
    <t xml:space="preserve">Nº de processos (N)</t>
  </si>
  <si>
    <t xml:space="preserve">Funding alvo (R$)</t>
  </si>
  <si>
    <t xml:space="preserve">Custódia (KMS ou HSM)</t>
  </si>
  <si>
    <t xml:space="preserve">KMS</t>
  </si>
  <si>
    <t xml:space="preserve">Câmbio USD/BRL (informativo)</t>
  </si>
  <si>
    <t xml:space="preserve">Estimativa por cenário</t>
  </si>
  <si>
    <t xml:space="preserve">Piloto técnico</t>
  </si>
  <si>
    <t xml:space="preserve">Enxuto (CVM 88)</t>
  </si>
  <si>
    <t xml:space="preserve">Completo (FIDC-NP)</t>
  </si>
  <si>
    <t xml:space="preserve">Mín</t>
  </si>
  <si>
    <t xml:space="preserve">Máx</t>
  </si>
  <si>
    <t xml:space="preserve">Setup (uma vez)</t>
  </si>
  <si>
    <t xml:space="preserve">Taxa CVM da oferta</t>
  </si>
  <si>
    <t xml:space="preserve">Recorrente — por mês (exceto custódia)</t>
  </si>
  <si>
    <t xml:space="preserve">Custódia — por mês (toggle KMS/HSM)</t>
  </si>
  <si>
    <t xml:space="preserve">Recorrente — por ano</t>
  </si>
  <si>
    <t xml:space="preserve">Taxa de administração FIDC — por ano</t>
  </si>
  <si>
    <t xml:space="preserve">Custo por processo (unitário)</t>
  </si>
  <si>
    <t xml:space="preserve">Variável total (× N processos)</t>
  </si>
  <si>
    <t xml:space="preserve">TOTAL ANO 1</t>
  </si>
  <si>
    <t xml:space="preserve">Recorrente — por mês (total)</t>
  </si>
  <si>
    <t xml:space="preserve">Recorrente — por ano (total)</t>
  </si>
  <si>
    <t xml:space="preserve">Como usar:</t>
  </si>
  <si>
    <t xml:space="preserve">• Edite N (nº de processos), Funding alvo e Custódia (KMS/HSM) nas células amarelas — os 3 cenários recalculam.</t>
  </si>
  <si>
    <t xml:space="preserve">• Piloto técnico = operação on-chain de teste, gate FECHADO, sem valor real (sem custo regulatório).</t>
  </si>
  <si>
    <t xml:space="preserve">• Enxuto = trilho crowdfunding CVM 88 (funding ≤ ~R$ 15 mi). Completo = FIDC-NP (escala maior).</t>
  </si>
  <si>
    <t xml:space="preserve">• Cada linha vem da aba 'Linhas de custo' (com fonte). Faixas = estimativa a validar por cotação/RFP.</t>
  </si>
  <si>
    <t xml:space="preserve">• TOTAL ANO 1 = Setup + Taxa CVM + Variável(×N) + (Recorrente mês + custódia)×12 + Recorrente ano + Adm. FIDC.</t>
  </si>
  <si>
    <t xml:space="preserve">• Se o enquadramento cair em VASP/BCB, some capital mínimo R$ 10,8–37,2 mi (provavelmente NÃO se aplica — ver doc 12).</t>
  </si>
  <si>
    <t xml:space="preserve">RFP</t>
  </si>
  <si>
    <t xml:space="preserve">Item (linha de custo)</t>
  </si>
  <si>
    <t xml:space="preserve">Célula (Linhas de custo)</t>
  </si>
  <si>
    <t xml:space="preserve">Unidade</t>
  </si>
  <si>
    <t xml:space="preserve">Faixa atual mín</t>
  </si>
  <si>
    <t xml:space="preserve">Faixa atual máx</t>
  </si>
  <si>
    <t xml:space="preserve">Fornecedor</t>
  </si>
  <si>
    <t xml:space="preserve">Cotado mín</t>
  </si>
  <si>
    <t xml:space="preserve">Cotado máx</t>
  </si>
  <si>
    <t xml:space="preserve">Validade</t>
  </si>
  <si>
    <t xml:space="preserve">Data</t>
  </si>
  <si>
    <t xml:space="preserve">Observação</t>
  </si>
  <si>
    <t xml:space="preserve">RFP-04</t>
  </si>
  <si>
    <t xml:space="preserve">C5/D5</t>
  </si>
  <si>
    <t xml:space="preserve">uma vez</t>
  </si>
  <si>
    <t xml:space="preserve">(EXEMPLO — apague) Fornecedor X</t>
  </si>
  <si>
    <t xml:space="preserve">30 dias</t>
  </si>
  <si>
    <t xml:space="preserve">2026-08-01</t>
  </si>
  <si>
    <t xml:space="preserve">escopo 3 contratos, reauditoria inclusa</t>
  </si>
  <si>
    <t xml:space="preserve">RFP-01</t>
  </si>
  <si>
    <t xml:space="preserve">C2/D2</t>
  </si>
  <si>
    <t xml:space="preserve">C3/D3</t>
  </si>
  <si>
    <t xml:space="preserve">Parecer de certeza/exigibilidade (por caso)</t>
  </si>
  <si>
    <t xml:space="preserve">C15/D15</t>
  </si>
  <si>
    <t xml:space="preserve">por processo</t>
  </si>
  <si>
    <t xml:space="preserve">RFP-02</t>
  </si>
  <si>
    <t xml:space="preserve">C4/D4</t>
  </si>
  <si>
    <t xml:space="preserve">C12/D12</t>
  </si>
  <si>
    <t xml:space="preserve">por ano</t>
  </si>
  <si>
    <t xml:space="preserve">Taxa de administração FIDC</t>
  </si>
  <si>
    <t xml:space="preserve">—</t>
  </si>
  <si>
    <t xml:space="preserve">% a.a. do PL (piso R$/mês)</t>
  </si>
  <si>
    <t xml:space="preserve">RFP-03</t>
  </si>
  <si>
    <t xml:space="preserve">C7/D7</t>
  </si>
  <si>
    <t xml:space="preserve">C11/D11</t>
  </si>
  <si>
    <t xml:space="preserve">por mês</t>
  </si>
  <si>
    <t xml:space="preserve">KYC do titular/investidor (por verificação)</t>
  </si>
  <si>
    <t xml:space="preserve">C17/D17</t>
  </si>
  <si>
    <t xml:space="preserve">por verificação</t>
  </si>
  <si>
    <t xml:space="preserve">RFP-05</t>
  </si>
  <si>
    <t xml:space="preserve">C13/D13</t>
  </si>
  <si>
    <t xml:space="preserve">RFP-06</t>
  </si>
  <si>
    <t xml:space="preserve">C18/D18</t>
  </si>
  <si>
    <t xml:space="preserve">por titular/ano</t>
  </si>
  <si>
    <t xml:space="preserve">Carimbo de tempo ICP-Brasil (RFC 3161)</t>
  </si>
  <si>
    <t xml:space="preserve">pacote por volume</t>
  </si>
  <si>
    <t xml:space="preserve">RFP-07</t>
  </si>
  <si>
    <t xml:space="preserve">Custódia de chaves — KMS</t>
  </si>
  <si>
    <t xml:space="preserve">C19/D19</t>
  </si>
  <si>
    <t xml:space="preserve">Custódia de chaves — HSM dedicado</t>
  </si>
  <si>
    <t xml:space="preserve">C20/D20</t>
  </si>
  <si>
    <t xml:space="preserve">RFP-08</t>
  </si>
  <si>
    <t xml:space="preserve">C6/D6</t>
  </si>
  <si>
    <t xml:space="preserve">C10/D10</t>
  </si>
  <si>
    <t xml:space="preserve">Legenda:</t>
  </si>
  <si>
    <t xml:space="preserve">• Colunas AMARELAS (Fornecedor…Observação) são para preencher quando a proposta chegar. A linha de exemplo (cinza) deve ser apagada.</t>
  </si>
  <si>
    <t xml:space="preserve">• 'Célula' aponta a célula da aba 'Linhas de custo' a atualizar (mín em C, máx em D). Atualize lá para o total recalcular.</t>
  </si>
  <si>
    <t xml:space="preserve">• Itens sem célula ('—'): Taxa de adm. FIDC é % do PL (calculada na aba Cenários); Carimbo RFC 3161 não tem linha fixa (custo por volume).</t>
  </si>
  <si>
    <t xml:space="preserve">• Este pacote de RFPs está em docs/evolution/rfp/ (um arquivo .md por RFP + README).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</si>
</sst>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"/>
    <numFmt numFmtId="166" formatCode="0"/>
    <numFmt numFmtId="167" formatCode="0.00"/>
    <numFmt numFmtId="168" formatCode="&quot;R$ &quot;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9999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707F"/>
        <bgColor rgb="FF008080"/>
      </patternFill>
    </fill>
    <fill>
      <patternFill patternType="solid">
        <fgColor rgb="FFFFF2CC"/>
        <bgColor rgb="FFE8F1F2"/>
      </patternFill>
    </fill>
    <fill>
      <patternFill patternType="solid">
        <fgColor rgb="FFE8F1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707F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5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4" t="n">
        <v>30000</v>
      </c>
      <c r="D2" s="4" t="n">
        <v>150000</v>
      </c>
      <c r="E2" s="3" t="s">
        <v>11</v>
      </c>
      <c r="F2" s="3" t="s">
        <v>12</v>
      </c>
      <c r="G2" s="5" t="n">
        <v>0</v>
      </c>
      <c r="H2" s="5" t="n">
        <v>1</v>
      </c>
      <c r="I2" s="5" t="n">
        <v>1</v>
      </c>
    </row>
    <row r="3" customFormat="false" ht="15" hidden="false" customHeight="true" outlineLevel="0" collapsed="false">
      <c r="A3" s="3" t="s">
        <v>13</v>
      </c>
      <c r="B3" s="3" t="s">
        <v>10</v>
      </c>
      <c r="C3" s="4" t="n">
        <v>150000</v>
      </c>
      <c r="D3" s="4" t="n">
        <v>500000</v>
      </c>
      <c r="E3" s="3" t="s">
        <v>11</v>
      </c>
      <c r="F3" s="3" t="s">
        <v>14</v>
      </c>
      <c r="G3" s="5" t="n">
        <v>0</v>
      </c>
      <c r="H3" s="5" t="n">
        <v>1</v>
      </c>
      <c r="I3" s="5" t="n">
        <v>1</v>
      </c>
    </row>
    <row r="4" customFormat="false" ht="15" hidden="false" customHeight="true" outlineLevel="0" collapsed="false">
      <c r="A4" s="3" t="s">
        <v>15</v>
      </c>
      <c r="B4" s="3" t="s">
        <v>10</v>
      </c>
      <c r="C4" s="4" t="n">
        <v>100000</v>
      </c>
      <c r="D4" s="4" t="n">
        <v>300000</v>
      </c>
      <c r="E4" s="3" t="s">
        <v>16</v>
      </c>
      <c r="F4" s="3" t="s">
        <v>17</v>
      </c>
      <c r="G4" s="5" t="n">
        <v>0</v>
      </c>
      <c r="H4" s="5" t="n">
        <v>0</v>
      </c>
      <c r="I4" s="5" t="n">
        <v>1</v>
      </c>
    </row>
    <row r="5" customFormat="false" ht="15" hidden="false" customHeight="true" outlineLevel="0" collapsed="false">
      <c r="A5" s="3" t="s">
        <v>18</v>
      </c>
      <c r="B5" s="3" t="s">
        <v>10</v>
      </c>
      <c r="C5" s="4" t="n">
        <v>55000</v>
      </c>
      <c r="D5" s="4" t="n">
        <v>275000</v>
      </c>
      <c r="E5" s="3" t="s">
        <v>16</v>
      </c>
      <c r="F5" s="3" t="s">
        <v>19</v>
      </c>
      <c r="G5" s="5" t="n">
        <v>0</v>
      </c>
      <c r="H5" s="5" t="n">
        <v>1</v>
      </c>
      <c r="I5" s="5" t="n">
        <v>1</v>
      </c>
    </row>
    <row r="6" customFormat="false" ht="15" hidden="false" customHeight="true" outlineLevel="0" collapsed="false">
      <c r="A6" s="3" t="s">
        <v>20</v>
      </c>
      <c r="B6" s="3" t="s">
        <v>10</v>
      </c>
      <c r="C6" s="4" t="n">
        <v>20000</v>
      </c>
      <c r="D6" s="4" t="n">
        <v>80000</v>
      </c>
      <c r="E6" s="3" t="s">
        <v>11</v>
      </c>
      <c r="F6" s="3" t="s">
        <v>21</v>
      </c>
      <c r="G6" s="5" t="n">
        <v>0</v>
      </c>
      <c r="H6" s="5" t="n">
        <v>1</v>
      </c>
      <c r="I6" s="5" t="n">
        <v>1</v>
      </c>
    </row>
    <row r="7" customFormat="false" ht="15" hidden="false" customHeight="true" outlineLevel="0" collapsed="false">
      <c r="A7" s="3" t="s">
        <v>22</v>
      </c>
      <c r="B7" s="3" t="s">
        <v>10</v>
      </c>
      <c r="C7" s="4" t="n">
        <v>30000</v>
      </c>
      <c r="D7" s="4" t="n">
        <v>120000</v>
      </c>
      <c r="E7" s="3" t="s">
        <v>11</v>
      </c>
      <c r="F7" s="3" t="s">
        <v>23</v>
      </c>
      <c r="G7" s="5" t="n">
        <v>0</v>
      </c>
      <c r="H7" s="5" t="n">
        <v>1</v>
      </c>
      <c r="I7" s="5" t="n">
        <v>1</v>
      </c>
    </row>
    <row r="8" customFormat="false" ht="15" hidden="false" customHeight="true" outlineLevel="0" collapsed="false">
      <c r="A8" s="3" t="s">
        <v>24</v>
      </c>
      <c r="B8" s="3" t="s">
        <v>25</v>
      </c>
      <c r="C8" s="4" t="n">
        <v>2000</v>
      </c>
      <c r="D8" s="4" t="n">
        <v>7000</v>
      </c>
      <c r="E8" s="3" t="s">
        <v>16</v>
      </c>
      <c r="F8" s="3" t="s">
        <v>26</v>
      </c>
      <c r="G8" s="5" t="n">
        <v>1</v>
      </c>
      <c r="H8" s="5" t="n">
        <v>1</v>
      </c>
      <c r="I8" s="5" t="n">
        <v>1</v>
      </c>
    </row>
    <row r="9" customFormat="false" ht="15" hidden="false" customHeight="true" outlineLevel="0" collapsed="false">
      <c r="A9" s="3" t="s">
        <v>27</v>
      </c>
      <c r="B9" s="3" t="s">
        <v>25</v>
      </c>
      <c r="C9" s="4" t="n">
        <v>3000</v>
      </c>
      <c r="D9" s="4" t="n">
        <v>8000</v>
      </c>
      <c r="E9" s="3" t="s">
        <v>16</v>
      </c>
      <c r="F9" s="3" t="s">
        <v>28</v>
      </c>
      <c r="G9" s="5" t="n">
        <v>0</v>
      </c>
      <c r="H9" s="5" t="n">
        <v>1</v>
      </c>
      <c r="I9" s="5" t="n">
        <v>1</v>
      </c>
    </row>
    <row r="10" customFormat="false" ht="15" hidden="false" customHeight="true" outlineLevel="0" collapsed="false">
      <c r="A10" s="3" t="s">
        <v>29</v>
      </c>
      <c r="B10" s="3" t="s">
        <v>25</v>
      </c>
      <c r="C10" s="4" t="n">
        <v>2500</v>
      </c>
      <c r="D10" s="4" t="n">
        <v>6500</v>
      </c>
      <c r="E10" s="3" t="s">
        <v>16</v>
      </c>
      <c r="F10" s="3" t="s">
        <v>30</v>
      </c>
      <c r="G10" s="5" t="n">
        <v>0</v>
      </c>
      <c r="H10" s="5" t="n">
        <v>1</v>
      </c>
      <c r="I10" s="5" t="n">
        <v>1</v>
      </c>
    </row>
    <row r="11" customFormat="false" ht="15" hidden="false" customHeight="true" outlineLevel="0" collapsed="false">
      <c r="A11" s="3" t="s">
        <v>31</v>
      </c>
      <c r="B11" s="3" t="s">
        <v>25</v>
      </c>
      <c r="C11" s="4" t="n">
        <v>2000</v>
      </c>
      <c r="D11" s="4" t="n">
        <v>13000</v>
      </c>
      <c r="E11" s="3" t="s">
        <v>11</v>
      </c>
      <c r="F11" s="3" t="s">
        <v>32</v>
      </c>
      <c r="G11" s="5" t="n">
        <v>0</v>
      </c>
      <c r="H11" s="5" t="n">
        <v>1</v>
      </c>
      <c r="I11" s="5" t="n">
        <v>1</v>
      </c>
    </row>
    <row r="12" customFormat="false" ht="15" hidden="false" customHeight="true" outlineLevel="0" collapsed="false">
      <c r="A12" s="3" t="s">
        <v>33</v>
      </c>
      <c r="B12" s="3" t="s">
        <v>34</v>
      </c>
      <c r="C12" s="4" t="n">
        <v>50000</v>
      </c>
      <c r="D12" s="4" t="n">
        <v>150000</v>
      </c>
      <c r="E12" s="3" t="s">
        <v>11</v>
      </c>
      <c r="F12" s="3" t="s">
        <v>35</v>
      </c>
      <c r="G12" s="5" t="n">
        <v>0</v>
      </c>
      <c r="H12" s="5" t="n">
        <v>0</v>
      </c>
      <c r="I12" s="5" t="n">
        <v>1</v>
      </c>
    </row>
    <row r="13" customFormat="false" ht="15" hidden="false" customHeight="true" outlineLevel="0" collapsed="false">
      <c r="A13" s="3" t="s">
        <v>36</v>
      </c>
      <c r="B13" s="3" t="s">
        <v>34</v>
      </c>
      <c r="C13" s="4" t="n">
        <v>8000</v>
      </c>
      <c r="D13" s="4" t="n">
        <v>50000</v>
      </c>
      <c r="E13" s="3" t="s">
        <v>16</v>
      </c>
      <c r="F13" s="3" t="s">
        <v>37</v>
      </c>
      <c r="G13" s="5" t="n">
        <v>0</v>
      </c>
      <c r="H13" s="5" t="n">
        <v>1</v>
      </c>
      <c r="I13" s="5" t="n">
        <v>1</v>
      </c>
    </row>
    <row r="14" customFormat="false" ht="15" hidden="false" customHeight="true" outlineLevel="0" collapsed="false">
      <c r="A14" s="3" t="s">
        <v>38</v>
      </c>
      <c r="B14" s="3" t="s">
        <v>39</v>
      </c>
      <c r="C14" s="4" t="n">
        <v>2000</v>
      </c>
      <c r="D14" s="4" t="n">
        <v>15000</v>
      </c>
      <c r="E14" s="3" t="s">
        <v>40</v>
      </c>
      <c r="F14" s="3" t="s">
        <v>41</v>
      </c>
      <c r="G14" s="5" t="n">
        <v>0</v>
      </c>
      <c r="H14" s="5" t="n">
        <v>1</v>
      </c>
      <c r="I14" s="5" t="n">
        <v>1</v>
      </c>
    </row>
    <row r="15" customFormat="false" ht="15" hidden="false" customHeight="true" outlineLevel="0" collapsed="false">
      <c r="A15" s="3" t="s">
        <v>42</v>
      </c>
      <c r="B15" s="3" t="s">
        <v>39</v>
      </c>
      <c r="C15" s="4" t="n">
        <v>2000</v>
      </c>
      <c r="D15" s="4" t="n">
        <v>10000</v>
      </c>
      <c r="E15" s="3" t="s">
        <v>11</v>
      </c>
      <c r="F15" s="3" t="s">
        <v>35</v>
      </c>
      <c r="G15" s="5" t="n">
        <v>0</v>
      </c>
      <c r="H15" s="5" t="n">
        <v>1</v>
      </c>
      <c r="I15" s="5" t="n">
        <v>1</v>
      </c>
    </row>
    <row r="16" customFormat="false" ht="15" hidden="false" customHeight="true" outlineLevel="0" collapsed="false">
      <c r="A16" s="3" t="s">
        <v>43</v>
      </c>
      <c r="B16" s="3" t="s">
        <v>39</v>
      </c>
      <c r="C16" s="4" t="n">
        <v>150</v>
      </c>
      <c r="D16" s="4" t="n">
        <v>2000</v>
      </c>
      <c r="E16" s="3" t="s">
        <v>44</v>
      </c>
      <c r="F16" s="3" t="s">
        <v>45</v>
      </c>
      <c r="G16" s="5" t="n">
        <v>0</v>
      </c>
      <c r="H16" s="5" t="n">
        <v>1</v>
      </c>
      <c r="I16" s="5" t="n">
        <v>1</v>
      </c>
    </row>
    <row r="17" customFormat="false" ht="15" hidden="false" customHeight="true" outlineLevel="0" collapsed="false">
      <c r="A17" s="3" t="s">
        <v>46</v>
      </c>
      <c r="B17" s="3" t="s">
        <v>39</v>
      </c>
      <c r="C17" s="4" t="n">
        <v>2</v>
      </c>
      <c r="D17" s="4" t="n">
        <v>8</v>
      </c>
      <c r="E17" s="3" t="s">
        <v>11</v>
      </c>
      <c r="F17" s="3" t="s">
        <v>47</v>
      </c>
      <c r="G17" s="5" t="n">
        <v>0</v>
      </c>
      <c r="H17" s="5" t="n">
        <v>1</v>
      </c>
      <c r="I17" s="5" t="n">
        <v>1</v>
      </c>
    </row>
    <row r="18" customFormat="false" ht="15" hidden="false" customHeight="true" outlineLevel="0" collapsed="false">
      <c r="A18" s="3" t="s">
        <v>48</v>
      </c>
      <c r="B18" s="3" t="s">
        <v>39</v>
      </c>
      <c r="C18" s="4" t="n">
        <v>120</v>
      </c>
      <c r="D18" s="4" t="n">
        <v>350</v>
      </c>
      <c r="E18" s="3" t="s">
        <v>49</v>
      </c>
      <c r="F18" s="3" t="s">
        <v>50</v>
      </c>
      <c r="G18" s="5" t="n">
        <v>0</v>
      </c>
      <c r="H18" s="5" t="n">
        <v>1</v>
      </c>
      <c r="I18" s="5" t="n">
        <v>1</v>
      </c>
    </row>
    <row r="19" customFormat="false" ht="15" hidden="false" customHeight="true" outlineLevel="0" collapsed="false">
      <c r="A19" s="3" t="s">
        <v>51</v>
      </c>
      <c r="B19" s="3" t="s">
        <v>52</v>
      </c>
      <c r="C19" s="4" t="n">
        <v>50</v>
      </c>
      <c r="D19" s="4" t="n">
        <v>300</v>
      </c>
      <c r="E19" s="3" t="s">
        <v>49</v>
      </c>
      <c r="F19" s="3" t="s">
        <v>53</v>
      </c>
      <c r="G19" s="5" t="n">
        <v>0</v>
      </c>
      <c r="H19" s="5" t="n">
        <v>0</v>
      </c>
      <c r="I19" s="5" t="n">
        <v>0</v>
      </c>
    </row>
    <row r="20" customFormat="false" ht="15" hidden="false" customHeight="true" outlineLevel="0" collapsed="false">
      <c r="A20" s="3" t="s">
        <v>54</v>
      </c>
      <c r="B20" s="3" t="s">
        <v>52</v>
      </c>
      <c r="C20" s="4" t="n">
        <v>6500</v>
      </c>
      <c r="D20" s="4" t="n">
        <v>13000</v>
      </c>
      <c r="E20" s="3" t="s">
        <v>49</v>
      </c>
      <c r="F20" s="3" t="s">
        <v>55</v>
      </c>
      <c r="G20" s="5" t="n">
        <v>0</v>
      </c>
      <c r="H20" s="5" t="n">
        <v>0</v>
      </c>
      <c r="I20" s="5" t="n">
        <v>0</v>
      </c>
    </row>
    <row r="22" customFormat="false" ht="15" hidden="false" customHeight="true" outlineLevel="0" collapsed="false">
      <c r="A22" s="6" t="s">
        <v>56</v>
      </c>
    </row>
    <row r="24" customFormat="false" ht="15" hidden="false" customHeight="false" outlineLevel="0" collapsed="false">
      <c r="A24" s="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8" t="s">
        <v>58</v>
      </c>
    </row>
    <row r="2" customFormat="false" ht="15" hidden="false" customHeight="true" outlineLevel="0" collapsed="false">
      <c r="A2" s="6" t="s">
        <v>59</v>
      </c>
    </row>
    <row r="3" customFormat="false" ht="15" hidden="false" customHeight="true" outlineLevel="0" collapsed="false">
      <c r="A3" s="9" t="s">
        <v>60</v>
      </c>
    </row>
    <row r="4" customFormat="false" ht="15" hidden="false" customHeight="true" outlineLevel="0" collapsed="false">
      <c r="A4" s="10" t="s">
        <v>61</v>
      </c>
      <c r="B4" s="11" t="n">
        <v>14</v>
      </c>
    </row>
    <row r="5" customFormat="false" ht="15" hidden="false" customHeight="true" outlineLevel="0" collapsed="false">
      <c r="A5" s="10" t="s">
        <v>62</v>
      </c>
      <c r="B5" s="12" t="n">
        <v>10000000</v>
      </c>
    </row>
    <row r="6" customFormat="false" ht="15" hidden="false" customHeight="true" outlineLevel="0" collapsed="false">
      <c r="A6" s="10" t="s">
        <v>63</v>
      </c>
      <c r="B6" s="13" t="s">
        <v>64</v>
      </c>
    </row>
    <row r="7" customFormat="false" ht="15" hidden="false" customHeight="true" outlineLevel="0" collapsed="false">
      <c r="A7" s="10" t="s">
        <v>65</v>
      </c>
      <c r="B7" s="14" t="n">
        <v>5.5</v>
      </c>
    </row>
    <row r="9" customFormat="false" ht="15" hidden="false" customHeight="true" outlineLevel="0" collapsed="false">
      <c r="A9" s="9" t="s">
        <v>66</v>
      </c>
      <c r="C9" s="15" t="s">
        <v>67</v>
      </c>
      <c r="D9" s="15"/>
      <c r="E9" s="15" t="s">
        <v>68</v>
      </c>
      <c r="F9" s="15"/>
      <c r="G9" s="15" t="s">
        <v>69</v>
      </c>
      <c r="H9" s="15"/>
    </row>
    <row r="10" customFormat="false" ht="15" hidden="false" customHeight="true" outlineLevel="0" collapsed="false">
      <c r="C10" s="16" t="s">
        <v>70</v>
      </c>
      <c r="D10" s="16" t="s">
        <v>71</v>
      </c>
      <c r="E10" s="16" t="s">
        <v>70</v>
      </c>
      <c r="F10" s="16" t="s">
        <v>71</v>
      </c>
      <c r="G10" s="16" t="s">
        <v>70</v>
      </c>
      <c r="H10" s="16" t="s">
        <v>71</v>
      </c>
    </row>
    <row r="11" customFormat="false" ht="15" hidden="false" customHeight="true" outlineLevel="0" collapsed="false">
      <c r="A11" s="10" t="s">
        <v>72</v>
      </c>
      <c r="C11" s="4" t="n">
        <f aca="false">SUMPRODUCT(('Linhas de custo'!$B$2:$B$20="Setup")*('Linhas de custo'!$G$2:$G$20)*('Linhas de custo'!$C$2:$C$20))</f>
        <v>0</v>
      </c>
      <c r="D11" s="4" t="n">
        <f aca="false">SUMPRODUCT(('Linhas de custo'!$B$2:$B$20="Setup")*('Linhas de custo'!$G$2:$G$20)*('Linhas de custo'!$D$2:$D$20))</f>
        <v>0</v>
      </c>
      <c r="E11" s="4" t="n">
        <f aca="false">SUMPRODUCT(('Linhas de custo'!$B$2:$B$20="Setup")*('Linhas de custo'!$H$2:$H$20)*('Linhas de custo'!$C$2:$C$20))</f>
        <v>285000</v>
      </c>
      <c r="F11" s="4" t="n">
        <f aca="false">SUMPRODUCT(('Linhas de custo'!$B$2:$B$20="Setup")*('Linhas de custo'!$H$2:$H$20)*('Linhas de custo'!$D$2:$D$20))</f>
        <v>1125000</v>
      </c>
      <c r="G11" s="4" t="n">
        <f aca="false">SUMPRODUCT(('Linhas de custo'!$B$2:$B$20="Setup")*('Linhas de custo'!$I$2:$I$20)*('Linhas de custo'!$C$2:$C$20))</f>
        <v>385000</v>
      </c>
      <c r="H11" s="4" t="n">
        <f aca="false">SUMPRODUCT(('Linhas de custo'!$B$2:$B$20="Setup")*('Linhas de custo'!$I$2:$I$20)*('Linhas de custo'!$D$2:$D$20))</f>
        <v>1425000</v>
      </c>
    </row>
    <row r="12" customFormat="false" ht="15" hidden="false" customHeight="true" outlineLevel="0" collapsed="false">
      <c r="A12" s="10" t="s">
        <v>73</v>
      </c>
      <c r="C12" s="4" t="n">
        <f aca="false">0</f>
        <v>0</v>
      </c>
      <c r="D12" s="4" t="n">
        <f aca="false">0</f>
        <v>0</v>
      </c>
      <c r="E12" s="4" t="n">
        <f aca="false">MAX(809,0.0003*$B$5)</f>
        <v>3000</v>
      </c>
      <c r="F12" s="4" t="n">
        <f aca="false">MAX(809,0.0003*$B$5)</f>
        <v>3000</v>
      </c>
      <c r="G12" s="4" t="n">
        <f aca="false">MAX(809,0.0064*$B$5)</f>
        <v>64000</v>
      </c>
      <c r="H12" s="4" t="n">
        <f aca="false">MAX(809,0.0064*$B$5)</f>
        <v>64000</v>
      </c>
    </row>
    <row r="13" customFormat="false" ht="15" hidden="false" customHeight="true" outlineLevel="0" collapsed="false">
      <c r="A13" s="10" t="s">
        <v>74</v>
      </c>
      <c r="C13" s="4" t="n">
        <f aca="false">SUMPRODUCT(('Linhas de custo'!$B$2:$B$20="Recorrente-mês")*('Linhas de custo'!$G$2:$G$20)*('Linhas de custo'!$C$2:$C$20))</f>
        <v>2000</v>
      </c>
      <c r="D13" s="4" t="n">
        <f aca="false">SUMPRODUCT(('Linhas de custo'!$B$2:$B$20="Recorrente-mês")*('Linhas de custo'!$G$2:$G$20)*('Linhas de custo'!$D$2:$D$20))</f>
        <v>7000</v>
      </c>
      <c r="E13" s="4" t="n">
        <f aca="false">SUMPRODUCT(('Linhas de custo'!$B$2:$B$20="Recorrente-mês")*('Linhas de custo'!$H$2:$H$20)*('Linhas de custo'!$C$2:$C$20))</f>
        <v>9500</v>
      </c>
      <c r="F13" s="4" t="n">
        <f aca="false">SUMPRODUCT(('Linhas de custo'!$B$2:$B$20="Recorrente-mês")*('Linhas de custo'!$H$2:$H$20)*('Linhas de custo'!$D$2:$D$20))</f>
        <v>34500</v>
      </c>
      <c r="G13" s="4" t="n">
        <f aca="false">SUMPRODUCT(('Linhas de custo'!$B$2:$B$20="Recorrente-mês")*('Linhas de custo'!$I$2:$I$20)*('Linhas de custo'!$C$2:$C$20))</f>
        <v>9500</v>
      </c>
      <c r="H13" s="4" t="n">
        <f aca="false">SUMPRODUCT(('Linhas de custo'!$B$2:$B$20="Recorrente-mês")*('Linhas de custo'!$I$2:$I$20)*('Linhas de custo'!$D$2:$D$20))</f>
        <v>34500</v>
      </c>
    </row>
    <row r="14" customFormat="false" ht="15" hidden="false" customHeight="true" outlineLevel="0" collapsed="false">
      <c r="A14" s="10" t="s">
        <v>75</v>
      </c>
      <c r="C14" s="4" t="n">
        <f aca="false">0</f>
        <v>0</v>
      </c>
      <c r="D14" s="4" t="n">
        <f aca="false">0</f>
        <v>0</v>
      </c>
      <c r="E14" s="4" t="n">
        <f aca="false">IF($B$6="HSM",'Linhas de custo'!$C$20,'Linhas de custo'!$C$19)</f>
        <v>50</v>
      </c>
      <c r="F14" s="4" t="n">
        <f aca="false">IF($B$6="HSM",'Linhas de custo'!$D$20,'Linhas de custo'!$D$19)</f>
        <v>300</v>
      </c>
      <c r="G14" s="4" t="n">
        <f aca="false">IF($B$6="HSM",'Linhas de custo'!$C$20,'Linhas de custo'!$C$19)</f>
        <v>50</v>
      </c>
      <c r="H14" s="4" t="n">
        <f aca="false">IF($B$6="HSM",'Linhas de custo'!$D$20,'Linhas de custo'!$D$19)</f>
        <v>300</v>
      </c>
    </row>
    <row r="15" customFormat="false" ht="15" hidden="false" customHeight="true" outlineLevel="0" collapsed="false">
      <c r="A15" s="10" t="s">
        <v>76</v>
      </c>
      <c r="C15" s="4" t="n">
        <f aca="false">SUMPRODUCT(('Linhas de custo'!$B$2:$B$20="Recorrente-ano")*('Linhas de custo'!$G$2:$G$20)*('Linhas de custo'!$C$2:$C$20))</f>
        <v>0</v>
      </c>
      <c r="D15" s="4" t="n">
        <f aca="false">SUMPRODUCT(('Linhas de custo'!$B$2:$B$20="Recorrente-ano")*('Linhas de custo'!$G$2:$G$20)*('Linhas de custo'!$D$2:$D$20))</f>
        <v>0</v>
      </c>
      <c r="E15" s="4" t="n">
        <f aca="false">SUMPRODUCT(('Linhas de custo'!$B$2:$B$20="Recorrente-ano")*('Linhas de custo'!$H$2:$H$20)*('Linhas de custo'!$C$2:$C$20))</f>
        <v>8000</v>
      </c>
      <c r="F15" s="4" t="n">
        <f aca="false">SUMPRODUCT(('Linhas de custo'!$B$2:$B$20="Recorrente-ano")*('Linhas de custo'!$H$2:$H$20)*('Linhas de custo'!$D$2:$D$20))</f>
        <v>50000</v>
      </c>
      <c r="G15" s="4" t="n">
        <f aca="false">SUMPRODUCT(('Linhas de custo'!$B$2:$B$20="Recorrente-ano")*('Linhas de custo'!$I$2:$I$20)*('Linhas de custo'!$C$2:$C$20))</f>
        <v>58000</v>
      </c>
      <c r="H15" s="4" t="n">
        <f aca="false">SUMPRODUCT(('Linhas de custo'!$B$2:$B$20="Recorrente-ano")*('Linhas de custo'!$I$2:$I$20)*('Linhas de custo'!$D$2:$D$20))</f>
        <v>200000</v>
      </c>
    </row>
    <row r="16" customFormat="false" ht="15" hidden="false" customHeight="true" outlineLevel="0" collapsed="false">
      <c r="A16" s="10" t="s">
        <v>77</v>
      </c>
      <c r="C16" s="4" t="n">
        <f aca="false">0</f>
        <v>0</v>
      </c>
      <c r="D16" s="4" t="n">
        <f aca="false">0</f>
        <v>0</v>
      </c>
      <c r="E16" s="4" t="n">
        <f aca="false">0</f>
        <v>0</v>
      </c>
      <c r="F16" s="4" t="n">
        <f aca="false">0</f>
        <v>0</v>
      </c>
      <c r="G16" s="4" t="n">
        <f aca="false">MAX(96000,0.008*$B$5)</f>
        <v>96000</v>
      </c>
      <c r="H16" s="4" t="n">
        <f aca="false">MAX(240000,0.02*$B$5)</f>
        <v>240000</v>
      </c>
    </row>
    <row r="17" customFormat="false" ht="15" hidden="false" customHeight="true" outlineLevel="0" collapsed="false">
      <c r="A17" s="10" t="s">
        <v>78</v>
      </c>
      <c r="C17" s="4" t="n">
        <f aca="false">SUMPRODUCT(('Linhas de custo'!$B$2:$B$20="Por-processo")*('Linhas de custo'!$G$2:$G$20)*('Linhas de custo'!$C$2:$C$20))</f>
        <v>0</v>
      </c>
      <c r="D17" s="4" t="n">
        <f aca="false">SUMPRODUCT(('Linhas de custo'!$B$2:$B$20="Por-processo")*('Linhas de custo'!$G$2:$G$20)*('Linhas de custo'!$D$2:$D$20))</f>
        <v>0</v>
      </c>
      <c r="E17" s="4" t="n">
        <f aca="false">SUMPRODUCT(('Linhas de custo'!$B$2:$B$20="Por-processo")*('Linhas de custo'!$H$2:$H$20)*('Linhas de custo'!$C$2:$C$20))</f>
        <v>4272</v>
      </c>
      <c r="F17" s="4" t="n">
        <f aca="false">SUMPRODUCT(('Linhas de custo'!$B$2:$B$20="Por-processo")*('Linhas de custo'!$H$2:$H$20)*('Linhas de custo'!$D$2:$D$20))</f>
        <v>27358</v>
      </c>
      <c r="G17" s="4" t="n">
        <f aca="false">SUMPRODUCT(('Linhas de custo'!$B$2:$B$20="Por-processo")*('Linhas de custo'!$I$2:$I$20)*('Linhas de custo'!$C$2:$C$20))</f>
        <v>4272</v>
      </c>
      <c r="H17" s="4" t="n">
        <f aca="false">SUMPRODUCT(('Linhas de custo'!$B$2:$B$20="Por-processo")*('Linhas de custo'!$I$2:$I$20)*('Linhas de custo'!$D$2:$D$20))</f>
        <v>27358</v>
      </c>
    </row>
    <row r="18" customFormat="false" ht="15" hidden="false" customHeight="true" outlineLevel="0" collapsed="false">
      <c r="A18" s="10" t="s">
        <v>79</v>
      </c>
      <c r="C18" s="4" t="n">
        <f aca="false">C17*$B$4</f>
        <v>0</v>
      </c>
      <c r="D18" s="4" t="n">
        <f aca="false">D17*$B$4</f>
        <v>0</v>
      </c>
      <c r="E18" s="4" t="n">
        <f aca="false">E17*$B$4</f>
        <v>59808</v>
      </c>
      <c r="F18" s="4" t="n">
        <f aca="false">F17*$B$4</f>
        <v>383012</v>
      </c>
      <c r="G18" s="4" t="n">
        <f aca="false">G17*$B$4</f>
        <v>59808</v>
      </c>
      <c r="H18" s="4" t="n">
        <f aca="false">H17*$B$4</f>
        <v>383012</v>
      </c>
    </row>
    <row r="19" customFormat="false" ht="15" hidden="false" customHeight="true" outlineLevel="0" collapsed="false">
      <c r="A19" s="9"/>
    </row>
    <row r="20" customFormat="false" ht="15" hidden="false" customHeight="true" outlineLevel="0" collapsed="false">
      <c r="A20" s="9" t="s">
        <v>80</v>
      </c>
      <c r="C20" s="17" t="n">
        <f aca="false">C11+C12+C18+(C13+C14)*12+C15+C16</f>
        <v>24000</v>
      </c>
      <c r="D20" s="17" t="n">
        <f aca="false">D11+D12+D18+(D13+D14)*12+D15+D16</f>
        <v>84000</v>
      </c>
      <c r="E20" s="17" t="n">
        <f aca="false">E11+E12+E18+(E13+E14)*12+E15+E16</f>
        <v>470408</v>
      </c>
      <c r="F20" s="17" t="n">
        <f aca="false">F11+F12+F18+(F13+F14)*12+F15+F16</f>
        <v>1978612</v>
      </c>
      <c r="G20" s="17" t="n">
        <f aca="false">G11+G12+G18+(G13+G14)*12+G15+G16</f>
        <v>777408</v>
      </c>
      <c r="H20" s="17" t="n">
        <f aca="false">H11+H12+H18+(H13+H14)*12+H15+H16</f>
        <v>2729612</v>
      </c>
    </row>
    <row r="21" customFormat="false" ht="15" hidden="false" customHeight="true" outlineLevel="0" collapsed="false">
      <c r="A21" s="10" t="s">
        <v>81</v>
      </c>
      <c r="C21" s="17" t="n">
        <f aca="false">C13+C14</f>
        <v>2000</v>
      </c>
      <c r="D21" s="17" t="n">
        <f aca="false">D13+D14</f>
        <v>7000</v>
      </c>
      <c r="E21" s="17" t="n">
        <f aca="false">E13+E14</f>
        <v>9550</v>
      </c>
      <c r="F21" s="17" t="n">
        <f aca="false">F13+F14</f>
        <v>34800</v>
      </c>
      <c r="G21" s="17" t="n">
        <f aca="false">G13+G14</f>
        <v>9550</v>
      </c>
      <c r="H21" s="17" t="n">
        <f aca="false">H13+H14</f>
        <v>34800</v>
      </c>
    </row>
    <row r="22" customFormat="false" ht="15" hidden="false" customHeight="true" outlineLevel="0" collapsed="false">
      <c r="A22" s="10" t="s">
        <v>82</v>
      </c>
      <c r="C22" s="17" t="n">
        <f aca="false">(C13+C14)*12+C15+C16</f>
        <v>24000</v>
      </c>
      <c r="D22" s="17" t="n">
        <f aca="false">(D13+D14)*12+D15+D16</f>
        <v>84000</v>
      </c>
      <c r="E22" s="17" t="n">
        <f aca="false">(E13+E14)*12+E15+E16</f>
        <v>122600</v>
      </c>
      <c r="F22" s="17" t="n">
        <f aca="false">(F13+F14)*12+F15+F16</f>
        <v>467600</v>
      </c>
      <c r="G22" s="17" t="n">
        <f aca="false">(G13+G14)*12+G15+G16</f>
        <v>268600</v>
      </c>
      <c r="H22" s="17" t="n">
        <f aca="false">(H13+H14)*12+H15+H16</f>
        <v>857600</v>
      </c>
    </row>
    <row r="24" customFormat="false" ht="15" hidden="false" customHeight="true" outlineLevel="0" collapsed="false">
      <c r="A24" s="9" t="s">
        <v>83</v>
      </c>
    </row>
    <row r="25" customFormat="false" ht="15" hidden="false" customHeight="true" outlineLevel="0" collapsed="false">
      <c r="A25" s="6" t="s">
        <v>84</v>
      </c>
    </row>
    <row r="26" customFormat="false" ht="15" hidden="false" customHeight="true" outlineLevel="0" collapsed="false">
      <c r="A26" s="6" t="s">
        <v>85</v>
      </c>
    </row>
    <row r="27" customFormat="false" ht="15" hidden="false" customHeight="true" outlineLevel="0" collapsed="false">
      <c r="A27" s="6" t="s">
        <v>86</v>
      </c>
    </row>
    <row r="28" customFormat="false" ht="15" hidden="false" customHeight="true" outlineLevel="0" collapsed="false">
      <c r="A28" s="6" t="s">
        <v>87</v>
      </c>
    </row>
    <row r="29" customFormat="false" ht="15" hidden="false" customHeight="true" outlineLevel="0" collapsed="false">
      <c r="A29" s="6" t="s">
        <v>88</v>
      </c>
    </row>
    <row r="30" customFormat="false" ht="15" hidden="false" customHeight="true" outlineLevel="0" collapsed="false">
      <c r="A30" s="6" t="s">
        <v>89</v>
      </c>
    </row>
  </sheetData>
  <mergeCells count="3">
    <mergeCell ref="C9:D9"/>
    <mergeCell ref="E9:F9"/>
    <mergeCell ref="G9:H9"/>
  </mergeCells>
  <dataValidations count="1">
    <dataValidation allowBlank="false" errorStyle="stop" operator="between" showDropDown="false" showErrorMessage="false" showInputMessage="false" sqref="B6" type="list">
      <formula1>"KMS,HSM"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26"/>
    <col collapsed="false" customWidth="true" hidden="false" outlineLevel="0" max="9" min="8" style="0" width="13"/>
    <col collapsed="false" customWidth="true" hidden="false" outlineLevel="0" max="11" min="10" style="0" width="12"/>
    <col collapsed="false" customWidth="true" hidden="false" outlineLevel="0" max="12" min="12" style="0" width="34"/>
  </cols>
  <sheetData>
    <row r="1" customFormat="false" ht="25.3" hidden="false" customHeight="false" outlineLevel="0" collapsed="false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100</v>
      </c>
      <c r="L1" s="2" t="s">
        <v>101</v>
      </c>
    </row>
    <row r="2" customFormat="false" ht="15" hidden="false" customHeight="false" outlineLevel="0" collapsed="false">
      <c r="A2" s="18" t="s">
        <v>102</v>
      </c>
      <c r="B2" s="18" t="s">
        <v>18</v>
      </c>
      <c r="C2" s="18" t="s">
        <v>103</v>
      </c>
      <c r="D2" s="18" t="s">
        <v>104</v>
      </c>
      <c r="E2" s="19" t="n">
        <v>55000</v>
      </c>
      <c r="F2" s="19" t="n">
        <v>275000</v>
      </c>
      <c r="G2" s="18" t="s">
        <v>105</v>
      </c>
      <c r="H2" s="19" t="n">
        <v>90000</v>
      </c>
      <c r="I2" s="19" t="n">
        <v>90000</v>
      </c>
      <c r="J2" s="18" t="s">
        <v>106</v>
      </c>
      <c r="K2" s="18" t="s">
        <v>107</v>
      </c>
      <c r="L2" s="18" t="s">
        <v>108</v>
      </c>
    </row>
    <row r="3" customFormat="false" ht="15" hidden="false" customHeight="false" outlineLevel="0" collapsed="false">
      <c r="A3" s="20" t="s">
        <v>109</v>
      </c>
      <c r="B3" s="20" t="s">
        <v>9</v>
      </c>
      <c r="C3" s="20" t="s">
        <v>110</v>
      </c>
      <c r="D3" s="20" t="s">
        <v>104</v>
      </c>
      <c r="E3" s="21" t="n">
        <v>30000</v>
      </c>
      <c r="F3" s="21" t="n">
        <v>150000</v>
      </c>
      <c r="G3" s="22"/>
      <c r="H3" s="23"/>
      <c r="I3" s="23"/>
      <c r="J3" s="22"/>
      <c r="K3" s="22"/>
      <c r="L3" s="22"/>
    </row>
    <row r="4" customFormat="false" ht="15" hidden="false" customHeight="false" outlineLevel="0" collapsed="false">
      <c r="A4" s="20" t="s">
        <v>109</v>
      </c>
      <c r="B4" s="20" t="s">
        <v>13</v>
      </c>
      <c r="C4" s="20" t="s">
        <v>111</v>
      </c>
      <c r="D4" s="20" t="s">
        <v>104</v>
      </c>
      <c r="E4" s="21" t="n">
        <v>150000</v>
      </c>
      <c r="F4" s="21" t="n">
        <v>500000</v>
      </c>
      <c r="G4" s="22"/>
      <c r="H4" s="23"/>
      <c r="I4" s="23"/>
      <c r="J4" s="22"/>
      <c r="K4" s="22"/>
      <c r="L4" s="22"/>
    </row>
    <row r="5" customFormat="false" ht="15" hidden="false" customHeight="false" outlineLevel="0" collapsed="false">
      <c r="A5" s="20" t="s">
        <v>109</v>
      </c>
      <c r="B5" s="20" t="s">
        <v>112</v>
      </c>
      <c r="C5" s="20" t="s">
        <v>113</v>
      </c>
      <c r="D5" s="20" t="s">
        <v>114</v>
      </c>
      <c r="E5" s="21" t="n">
        <v>2000</v>
      </c>
      <c r="F5" s="21" t="n">
        <v>10000</v>
      </c>
      <c r="G5" s="22"/>
      <c r="H5" s="23"/>
      <c r="I5" s="23"/>
      <c r="J5" s="22"/>
      <c r="K5" s="22"/>
      <c r="L5" s="22"/>
    </row>
    <row r="6" customFormat="false" ht="15" hidden="false" customHeight="false" outlineLevel="0" collapsed="false">
      <c r="A6" s="20" t="s">
        <v>115</v>
      </c>
      <c r="B6" s="20" t="s">
        <v>15</v>
      </c>
      <c r="C6" s="20" t="s">
        <v>116</v>
      </c>
      <c r="D6" s="20" t="s">
        <v>104</v>
      </c>
      <c r="E6" s="21" t="n">
        <v>100000</v>
      </c>
      <c r="F6" s="21" t="n">
        <v>300000</v>
      </c>
      <c r="G6" s="22"/>
      <c r="H6" s="23"/>
      <c r="I6" s="23"/>
      <c r="J6" s="22"/>
      <c r="K6" s="22"/>
      <c r="L6" s="22"/>
    </row>
    <row r="7" customFormat="false" ht="15" hidden="false" customHeight="false" outlineLevel="0" collapsed="false">
      <c r="A7" s="20" t="s">
        <v>115</v>
      </c>
      <c r="B7" s="20" t="s">
        <v>33</v>
      </c>
      <c r="C7" s="20" t="s">
        <v>117</v>
      </c>
      <c r="D7" s="20" t="s">
        <v>118</v>
      </c>
      <c r="E7" s="21" t="n">
        <v>50000</v>
      </c>
      <c r="F7" s="21" t="n">
        <v>150000</v>
      </c>
      <c r="G7" s="22"/>
      <c r="H7" s="23"/>
      <c r="I7" s="23"/>
      <c r="J7" s="22"/>
      <c r="K7" s="22"/>
      <c r="L7" s="22"/>
    </row>
    <row r="8" customFormat="false" ht="15" hidden="false" customHeight="false" outlineLevel="0" collapsed="false">
      <c r="A8" s="20" t="s">
        <v>115</v>
      </c>
      <c r="B8" s="20" t="s">
        <v>119</v>
      </c>
      <c r="C8" s="20" t="s">
        <v>120</v>
      </c>
      <c r="D8" s="20" t="s">
        <v>121</v>
      </c>
      <c r="E8" s="21"/>
      <c r="F8" s="21"/>
      <c r="G8" s="22"/>
      <c r="H8" s="23"/>
      <c r="I8" s="23"/>
      <c r="J8" s="22"/>
      <c r="K8" s="22"/>
      <c r="L8" s="22"/>
    </row>
    <row r="9" customFormat="false" ht="15" hidden="false" customHeight="false" outlineLevel="0" collapsed="false">
      <c r="A9" s="20" t="s">
        <v>122</v>
      </c>
      <c r="B9" s="20" t="s">
        <v>22</v>
      </c>
      <c r="C9" s="20" t="s">
        <v>123</v>
      </c>
      <c r="D9" s="20" t="s">
        <v>104</v>
      </c>
      <c r="E9" s="21" t="n">
        <v>30000</v>
      </c>
      <c r="F9" s="21" t="n">
        <v>120000</v>
      </c>
      <c r="G9" s="22"/>
      <c r="H9" s="23"/>
      <c r="I9" s="23"/>
      <c r="J9" s="22"/>
      <c r="K9" s="22"/>
      <c r="L9" s="22"/>
    </row>
    <row r="10" customFormat="false" ht="15" hidden="false" customHeight="false" outlineLevel="0" collapsed="false">
      <c r="A10" s="20" t="s">
        <v>122</v>
      </c>
      <c r="B10" s="20" t="s">
        <v>31</v>
      </c>
      <c r="C10" s="20" t="s">
        <v>124</v>
      </c>
      <c r="D10" s="20" t="s">
        <v>125</v>
      </c>
      <c r="E10" s="21" t="n">
        <v>2000</v>
      </c>
      <c r="F10" s="21" t="n">
        <v>13000</v>
      </c>
      <c r="G10" s="22"/>
      <c r="H10" s="23"/>
      <c r="I10" s="23"/>
      <c r="J10" s="22"/>
      <c r="K10" s="22"/>
      <c r="L10" s="22"/>
    </row>
    <row r="11" customFormat="false" ht="15" hidden="false" customHeight="false" outlineLevel="0" collapsed="false">
      <c r="A11" s="20" t="s">
        <v>122</v>
      </c>
      <c r="B11" s="20" t="s">
        <v>126</v>
      </c>
      <c r="C11" s="20" t="s">
        <v>127</v>
      </c>
      <c r="D11" s="20" t="s">
        <v>128</v>
      </c>
      <c r="E11" s="21" t="n">
        <v>2</v>
      </c>
      <c r="F11" s="21" t="n">
        <v>8</v>
      </c>
      <c r="G11" s="22"/>
      <c r="H11" s="23"/>
      <c r="I11" s="23"/>
      <c r="J11" s="22"/>
      <c r="K11" s="22"/>
      <c r="L11" s="22"/>
    </row>
    <row r="12" customFormat="false" ht="15" hidden="false" customHeight="false" outlineLevel="0" collapsed="false">
      <c r="A12" s="20" t="s">
        <v>102</v>
      </c>
      <c r="B12" s="20" t="s">
        <v>18</v>
      </c>
      <c r="C12" s="20" t="s">
        <v>103</v>
      </c>
      <c r="D12" s="20" t="s">
        <v>104</v>
      </c>
      <c r="E12" s="21" t="n">
        <v>55000</v>
      </c>
      <c r="F12" s="21" t="n">
        <v>275000</v>
      </c>
      <c r="G12" s="22"/>
      <c r="H12" s="23"/>
      <c r="I12" s="23"/>
      <c r="J12" s="22"/>
      <c r="K12" s="22"/>
      <c r="L12" s="22"/>
    </row>
    <row r="13" customFormat="false" ht="15" hidden="false" customHeight="false" outlineLevel="0" collapsed="false">
      <c r="A13" s="20" t="s">
        <v>129</v>
      </c>
      <c r="B13" s="20" t="s">
        <v>36</v>
      </c>
      <c r="C13" s="20" t="s">
        <v>130</v>
      </c>
      <c r="D13" s="20" t="s">
        <v>118</v>
      </c>
      <c r="E13" s="21" t="n">
        <v>8000</v>
      </c>
      <c r="F13" s="21" t="n">
        <v>50000</v>
      </c>
      <c r="G13" s="22"/>
      <c r="H13" s="23"/>
      <c r="I13" s="23"/>
      <c r="J13" s="22"/>
      <c r="K13" s="22"/>
      <c r="L13" s="22"/>
    </row>
    <row r="14" customFormat="false" ht="15" hidden="false" customHeight="false" outlineLevel="0" collapsed="false">
      <c r="A14" s="20" t="s">
        <v>131</v>
      </c>
      <c r="B14" s="20" t="s">
        <v>48</v>
      </c>
      <c r="C14" s="20" t="s">
        <v>132</v>
      </c>
      <c r="D14" s="20" t="s">
        <v>133</v>
      </c>
      <c r="E14" s="21" t="n">
        <v>120</v>
      </c>
      <c r="F14" s="21" t="n">
        <v>350</v>
      </c>
      <c r="G14" s="22"/>
      <c r="H14" s="23"/>
      <c r="I14" s="23"/>
      <c r="J14" s="22"/>
      <c r="K14" s="22"/>
      <c r="L14" s="22"/>
    </row>
    <row r="15" customFormat="false" ht="15" hidden="false" customHeight="false" outlineLevel="0" collapsed="false">
      <c r="A15" s="20" t="s">
        <v>131</v>
      </c>
      <c r="B15" s="20" t="s">
        <v>134</v>
      </c>
      <c r="C15" s="20" t="s">
        <v>120</v>
      </c>
      <c r="D15" s="20" t="s">
        <v>135</v>
      </c>
      <c r="E15" s="21"/>
      <c r="F15" s="21"/>
      <c r="G15" s="22"/>
      <c r="H15" s="23"/>
      <c r="I15" s="23"/>
      <c r="J15" s="22"/>
      <c r="K15" s="22"/>
      <c r="L15" s="22"/>
    </row>
    <row r="16" customFormat="false" ht="15" hidden="false" customHeight="false" outlineLevel="0" collapsed="false">
      <c r="A16" s="20" t="s">
        <v>136</v>
      </c>
      <c r="B16" s="20" t="s">
        <v>137</v>
      </c>
      <c r="C16" s="20" t="s">
        <v>138</v>
      </c>
      <c r="D16" s="20" t="s">
        <v>125</v>
      </c>
      <c r="E16" s="21" t="n">
        <v>50</v>
      </c>
      <c r="F16" s="21" t="n">
        <v>300</v>
      </c>
      <c r="G16" s="22"/>
      <c r="H16" s="23"/>
      <c r="I16" s="23"/>
      <c r="J16" s="22"/>
      <c r="K16" s="22"/>
      <c r="L16" s="22"/>
    </row>
    <row r="17" customFormat="false" ht="15" hidden="false" customHeight="false" outlineLevel="0" collapsed="false">
      <c r="A17" s="20" t="s">
        <v>136</v>
      </c>
      <c r="B17" s="20" t="s">
        <v>139</v>
      </c>
      <c r="C17" s="20" t="s">
        <v>140</v>
      </c>
      <c r="D17" s="20" t="s">
        <v>125</v>
      </c>
      <c r="E17" s="21" t="n">
        <v>6500</v>
      </c>
      <c r="F17" s="21" t="n">
        <v>13000</v>
      </c>
      <c r="G17" s="22"/>
      <c r="H17" s="23"/>
      <c r="I17" s="23"/>
      <c r="J17" s="22"/>
      <c r="K17" s="22"/>
      <c r="L17" s="22"/>
    </row>
    <row r="18" customFormat="false" ht="15" hidden="false" customHeight="false" outlineLevel="0" collapsed="false">
      <c r="A18" s="20" t="s">
        <v>141</v>
      </c>
      <c r="B18" s="20" t="s">
        <v>20</v>
      </c>
      <c r="C18" s="20" t="s">
        <v>142</v>
      </c>
      <c r="D18" s="20" t="s">
        <v>104</v>
      </c>
      <c r="E18" s="21" t="n">
        <v>20000</v>
      </c>
      <c r="F18" s="21" t="n">
        <v>80000</v>
      </c>
      <c r="G18" s="22"/>
      <c r="H18" s="23"/>
      <c r="I18" s="23"/>
      <c r="J18" s="22"/>
      <c r="K18" s="22"/>
      <c r="L18" s="22"/>
    </row>
    <row r="19" customFormat="false" ht="15" hidden="false" customHeight="false" outlineLevel="0" collapsed="false">
      <c r="A19" s="20" t="s">
        <v>141</v>
      </c>
      <c r="B19" s="20" t="s">
        <v>29</v>
      </c>
      <c r="C19" s="20" t="s">
        <v>143</v>
      </c>
      <c r="D19" s="20" t="s">
        <v>125</v>
      </c>
      <c r="E19" s="21" t="n">
        <v>2500</v>
      </c>
      <c r="F19" s="21" t="n">
        <v>6500</v>
      </c>
      <c r="G19" s="22"/>
      <c r="H19" s="23"/>
      <c r="I19" s="23"/>
      <c r="J19" s="22"/>
      <c r="K19" s="22"/>
      <c r="L19" s="22"/>
    </row>
    <row r="21" customFormat="false" ht="15" hidden="false" customHeight="false" outlineLevel="0" collapsed="false">
      <c r="A21" s="24" t="s">
        <v>144</v>
      </c>
    </row>
    <row r="22" customFormat="false" ht="15" hidden="false" customHeight="false" outlineLevel="0" collapsed="false">
      <c r="A22" s="7" t="s">
        <v>145</v>
      </c>
    </row>
    <row r="23" customFormat="false" ht="15" hidden="false" customHeight="false" outlineLevel="0" collapsed="false">
      <c r="A23" s="7" t="s">
        <v>146</v>
      </c>
    </row>
    <row r="24" customFormat="false" ht="15" hidden="false" customHeight="false" outlineLevel="0" collapsed="false">
      <c r="A24" s="7" t="s">
        <v>147</v>
      </c>
    </row>
    <row r="25" customFormat="false" ht="15" hidden="false" customHeight="false" outlineLevel="0" collapsed="false">
      <c r="A25" s="7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2026-07-16T18:35:55Z</dcterms:created>
  <dc:creator>openpyxl</dc:creator>
  <dc:description/>
  <dc:language>en-US</dc:language>
  <cp:lastModifiedBy/>
  <dcterms:modified xsi:type="dcterms:W3CDTF">2026-07-16T18:56:02Z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