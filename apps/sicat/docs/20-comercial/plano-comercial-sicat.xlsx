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emissas" sheetId="1" state="visible" r:id="rId3"/>
    <sheet name="Linhas de custo" sheetId="2" state="visible" r:id="rId4"/>
    <sheet name="Planos" sheetId="3" state="visible" r:id="rId5"/>
    <sheet name="Simulador de receit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<sst xmlns="http://schemas.openxmlformats.org/spreadsheetml/2006/main" count="161" uniqueCount="128">
  <si>
    <t xml:space="preserve">Premissa (edite as células AMARELAS)</t>
  </si>
  <si>
    <t xml:space="preserve">Valor</t>
  </si>
  <si>
    <t xml:space="preserve">Unidade / nota</t>
  </si>
  <si>
    <t xml:space="preserve">Câmbio USD/BRL</t>
  </si>
  <si>
    <t xml:space="preserve">R$/US$</t>
  </si>
  <si>
    <t xml:space="preserve">Preço token input (classe Haiku)</t>
  </si>
  <si>
    <t xml:space="preserve">US$/MTok</t>
  </si>
  <si>
    <t xml:space="preserve">Preço token output</t>
  </si>
  <si>
    <t xml:space="preserve">Multiplicador cache read</t>
  </si>
  <si>
    <t xml:space="preserve">x input</t>
  </si>
  <si>
    <t xml:space="preserve">Multiplicador cache write (info)</t>
  </si>
  <si>
    <t xml:space="preserve">x input (amortizado, fora da fórmula)</t>
  </si>
  <si>
    <t xml:space="preserve">Cache hit (fração do input)</t>
  </si>
  <si>
    <t xml:space="preserve">0-1</t>
  </si>
  <si>
    <t xml:space="preserve">Tokens input por turno</t>
  </si>
  <si>
    <t xml:space="preserve">tokens</t>
  </si>
  <si>
    <t xml:space="preserve">Tokens output por turno</t>
  </si>
  <si>
    <t xml:space="preserve">Tokens por arquivo ingerido</t>
  </si>
  <si>
    <t xml:space="preserve">Custo hora suporte/CS</t>
  </si>
  <si>
    <t xml:space="preserve">R$/h</t>
  </si>
  <si>
    <t xml:space="preserve">Custo fixo operação/mês (sem folha)</t>
  </si>
  <si>
    <t xml:space="preserve">R$/mês</t>
  </si>
  <si>
    <t xml:space="preserve">Folha core/mês (linha separada)</t>
  </si>
  <si>
    <t xml:space="preserve">k_extra (excedente+add-ons)</t>
  </si>
  <si>
    <t xml:space="preserve">x MRR base</t>
  </si>
  <si>
    <t xml:space="preserve">Churn mensal</t>
  </si>
  <si>
    <t xml:space="preserve">fração</t>
  </si>
  <si>
    <t xml:space="preserve">Fiscal: docs/mês por CNPJ</t>
  </si>
  <si>
    <t xml:space="preserve">docs</t>
  </si>
  <si>
    <t xml:space="preserve">Fiscal: preço médio por doc</t>
  </si>
  <si>
    <t xml:space="preserve">R$/doc</t>
  </si>
  <si>
    <t xml:space="preserve">Fiscal: mensalidade por CNPJ</t>
  </si>
  <si>
    <t xml:space="preserve">R$/CNPJ·mês</t>
  </si>
  <si>
    <t xml:space="preserve">Custo IA por turno de chat (R$) — fórmula</t>
  </si>
  <si>
    <t xml:space="preserve">input não-cacheado + input cache-read + output, em R$</t>
  </si>
  <si>
    <t xml:space="preserve">Custo IA por arquivo ingerido (R$) — fórmula</t>
  </si>
  <si>
    <t xml:space="preserve">ingestão = input puro</t>
  </si>
  <si>
    <t xml:space="preserve">Item</t>
  </si>
  <si>
    <t xml:space="preserve">Tipo</t>
  </si>
  <si>
    <t xml:space="preserve">Mín (R$)</t>
  </si>
  <si>
    <t xml:space="preserve">Máx (R$)</t>
  </si>
  <si>
    <t xml:space="preserve">Confiança</t>
  </si>
  <si>
    <t xml:space="preserve">Fonte</t>
  </si>
  <si>
    <t xml:space="preserve">Infra cloud — fase lancamento (até 30 clientes)</t>
  </si>
  <si>
    <t xml:space="preserve">fixo-mês</t>
  </si>
  <si>
    <t xml:space="preserve">alta</t>
  </si>
  <si>
    <t xml:space="preserve">cloud nacional em R$ (Magalu BV2/BV4 R$83-150 + storage no free tier do Cloudflare R2) até AWS sa-east-1 gerenciada (EC2 t3.large + RDS ≈ R$785) — pesquisa 2026-07-16</t>
  </si>
  <si>
    <t xml:space="preserve">Infra cloud — fase crescimento (até 150 clientes)</t>
  </si>
  <si>
    <t xml:space="preserve">media</t>
  </si>
  <si>
    <t xml:space="preserve">2 nós + Postgres gerenciado HA + monitoração</t>
  </si>
  <si>
    <t xml:space="preserve">Infra cloud — fase escala (150+ clientes)</t>
  </si>
  <si>
    <t xml:space="preserve">baixa</t>
  </si>
  <si>
    <t xml:space="preserve">cluster gerenciado + réplica leitura + DR</t>
  </si>
  <si>
    <t xml:space="preserve">Custo fixo de operação (sem folha)</t>
  </si>
  <si>
    <t xml:space="preserve">premissa</t>
  </si>
  <si>
    <t xml:space="preserve">infra 800 (teto da fase lançamento) + suporte/CS 0,5 FTE 4000 + ferramentas/contab 1200 + marketing 4000 (sem folha core); com infra de crescimento, sobe ~1-2,7 mil</t>
  </si>
  <si>
    <t xml:space="preserve">Folha core (1 dev + fundador parcial)</t>
  </si>
  <si>
    <t xml:space="preserve">1 dev + fundador parcial — linha separada do CF</t>
  </si>
  <si>
    <t xml:space="preserve">Suporte/CS (por hora)</t>
  </si>
  <si>
    <t xml:space="preserve">por-cliente-mês</t>
  </si>
  <si>
    <t xml:space="preserve">custo carregado CS/suporte BR</t>
  </si>
  <si>
    <t xml:space="preserve">IA — custo por turno de chat (faixa = cache hit 80% a 60%)</t>
  </si>
  <si>
    <t xml:space="preserve">por-interação</t>
  </si>
  <si>
    <t xml:space="preserve">tokens 22000/800 @ US$1.0/5.0 MTok, cache hit central 70%, câmbio 5.1 — fórmula viva na aba Premissas</t>
  </si>
  <si>
    <t xml:space="preserve">IA — custo por arquivo ingerido</t>
  </si>
  <si>
    <t xml:space="preserve">50000 tokens de input</t>
  </si>
  <si>
    <t xml:space="preserve">Storage de PDFs (por GB·mês)</t>
  </si>
  <si>
    <t xml:space="preserve">por-DO</t>
  </si>
  <si>
    <t xml:space="preserve">object storage BR ~R$0,10-0,25/GB·mês</t>
  </si>
  <si>
    <t xml:space="preserve">Banco/fila (por DO)</t>
  </si>
  <si>
    <t xml:space="preserve">fila Postgres — custo marginal quase nulo</t>
  </si>
  <si>
    <t xml:space="preserve">Fiscal: custo do parceiro por documento</t>
  </si>
  <si>
    <t xml:space="preserve">referência</t>
  </si>
  <si>
    <t xml:space="preserve">Focus NFe: excedente R$0,10-0,12/doc; efetivo ≈R$0,137 no plano Growth (focusnfe.com.br/precos, 2026-07-16); CT-e/MDF-e inclusos na franquia única</t>
  </si>
  <si>
    <t xml:space="preserve">Fiscal: mensalidade da plataforma parceira</t>
  </si>
  <si>
    <t xml:space="preserve">Focus NFe: Solo R$89,90 (1 CNPJ, 100 docs) → Growth R$548 (CNPJs ilimitados, 4.000 docs) — sem setup, sem fidelidade</t>
  </si>
  <si>
    <t xml:space="preserve">Fiscal: certificado A1 (custo do CLIENTE)</t>
  </si>
  <si>
    <t xml:space="preserve">custo do CLIENTE, não do SICAT — calibrar bloco B</t>
  </si>
  <si>
    <t xml:space="preserve">Fiscal: dev fase 1 (API parceira, one-off)</t>
  </si>
  <si>
    <t xml:space="preserve">integração + DACTE + telas + vínculo MTR↔CT-e</t>
  </si>
  <si>
    <t xml:space="preserve">Fiscal: dev emissor próprio (one-off)</t>
  </si>
  <si>
    <t xml:space="preserve">schema CT-e 4.0 + assinatura + contingência + MDF-e + homologação, sobre gateway do ContaViva-360 — só com &gt;30k docs/mês</t>
  </si>
  <si>
    <t xml:space="preserve">Plano</t>
  </si>
  <si>
    <t xml:space="preserve">Porte</t>
  </si>
  <si>
    <t xml:space="preserve">Mensalidade (R$) [editável]</t>
  </si>
  <si>
    <t xml:space="preserve">Franquia DOs/mês</t>
  </si>
  <si>
    <t xml:space="preserve">Excedente R$/DO</t>
  </si>
  <si>
    <t xml:space="preserve">Contas CETESB</t>
  </si>
  <si>
    <t xml:space="preserve">Usuários</t>
  </si>
  <si>
    <t xml:space="preserve">IA interações/mês</t>
  </si>
  <si>
    <t xml:space="preserve">IA ingestões/mês</t>
  </si>
  <si>
    <t xml:space="preserve">SSO</t>
  </si>
  <si>
    <t xml:space="preserve">Retenção auditoria (m)</t>
  </si>
  <si>
    <t xml:space="preserve">Suporte h/mês</t>
  </si>
  <si>
    <t xml:space="preserve">Onboarding h</t>
  </si>
  <si>
    <t xml:space="preserve">Infra+storage rateado R$/mês [editável]</t>
  </si>
  <si>
    <t xml:space="preserve">R$/DO incluso</t>
  </si>
  <si>
    <t xml:space="preserve">Custo IA pior caso R$</t>
  </si>
  <si>
    <t xml:space="preserve">Custo suporte R$</t>
  </si>
  <si>
    <t xml:space="preserve">Custo total/cliente R$</t>
  </si>
  <si>
    <t xml:space="preserve">Margem bruta</t>
  </si>
  <si>
    <t xml:space="preserve">Essencial</t>
  </si>
  <si>
    <t xml:space="preserve">Micro/Autônomo</t>
  </si>
  <si>
    <t xml:space="preserve">—</t>
  </si>
  <si>
    <t xml:space="preserve">Profissional</t>
  </si>
  <si>
    <t xml:space="preserve">PME</t>
  </si>
  <si>
    <t xml:space="preserve">Operacional (Pro)</t>
  </si>
  <si>
    <t xml:space="preserve">Operação intensiva</t>
  </si>
  <si>
    <t xml:space="preserve">sim</t>
  </si>
  <si>
    <t xml:space="preserve">Enterprise</t>
  </si>
  <si>
    <t xml:space="preserve">Grande operação</t>
  </si>
  <si>
    <t xml:space="preserve">ilimitado*</t>
  </si>
  <si>
    <t xml:space="preserve">* ilimitado comercial com fair use contratual. Custo IA = pior caso (100% da cota usada); uso real tende a 30-50%.</t>
  </si>
  <si>
    <t xml:space="preserve">Simulador (mês 12) — edite os nº de clientes (AMARELO)</t>
  </si>
  <si>
    <t xml:space="preserve">Conservador</t>
  </si>
  <si>
    <t xml:space="preserve">Base</t>
  </si>
  <si>
    <t xml:space="preserve">Otimista</t>
  </si>
  <si>
    <t xml:space="preserve">CNPJs com add-on fiscal</t>
  </si>
  <si>
    <t xml:space="preserve">MRR base (assinaturas)</t>
  </si>
  <si>
    <t xml:space="preserve">Receita fiscal/mês (add-on)</t>
  </si>
  <si>
    <t xml:space="preserve">MRR total (c/ extras k_extra)</t>
  </si>
  <si>
    <t xml:space="preserve">Custo variável total</t>
  </si>
  <si>
    <t xml:space="preserve">Custo fixo (sem folha)</t>
  </si>
  <si>
    <t xml:space="preserve">Resultado (sem folha)</t>
  </si>
  <si>
    <t xml:space="preserve">Resultado (com folha core)</t>
  </si>
  <si>
    <t xml:space="preserve">Margem bruta do cenário</t>
  </si>
  <si>
    <t xml:space="preserve">Break-even MRR (sem folha)</t>
  </si>
  <si>
    <t xml:space="preserve">Break-even MRR (com folha)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</si>
</sst>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B2"/>
        <bgColor rgb="FFFFFFCC"/>
      </patternFill>
    </fill>
    <fill>
      <patternFill patternType="solid">
        <fgColor rgb="FFE8E8E8"/>
        <bgColor rgb="FFFFF2B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B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2" t="n">
        <v>5.1</v>
      </c>
      <c r="C2" s="0" t="s">
        <v>4</v>
      </c>
    </row>
    <row r="3" customFormat="false" ht="15" hidden="false" customHeight="false" outlineLevel="0" collapsed="false">
      <c r="A3" s="0" t="s">
        <v>5</v>
      </c>
      <c r="B3" s="2" t="n">
        <v>1</v>
      </c>
      <c r="C3" s="0" t="s">
        <v>6</v>
      </c>
    </row>
    <row r="4" customFormat="false" ht="15" hidden="false" customHeight="false" outlineLevel="0" collapsed="false">
      <c r="A4" s="0" t="s">
        <v>7</v>
      </c>
      <c r="B4" s="2" t="n">
        <v>5</v>
      </c>
      <c r="C4" s="0" t="s">
        <v>6</v>
      </c>
    </row>
    <row r="5" customFormat="false" ht="15" hidden="false" customHeight="false" outlineLevel="0" collapsed="false">
      <c r="A5" s="0" t="s">
        <v>8</v>
      </c>
      <c r="B5" s="2" t="n">
        <v>0.1</v>
      </c>
      <c r="C5" s="0" t="s">
        <v>9</v>
      </c>
    </row>
    <row r="6" customFormat="false" ht="15" hidden="false" customHeight="false" outlineLevel="0" collapsed="false">
      <c r="A6" s="0" t="s">
        <v>10</v>
      </c>
      <c r="B6" s="2" t="n">
        <v>1.25</v>
      </c>
      <c r="C6" s="0" t="s">
        <v>11</v>
      </c>
    </row>
    <row r="7" customFormat="false" ht="15" hidden="false" customHeight="false" outlineLevel="0" collapsed="false">
      <c r="A7" s="0" t="s">
        <v>12</v>
      </c>
      <c r="B7" s="2" t="n">
        <v>0.7</v>
      </c>
      <c r="C7" s="0" t="s">
        <v>13</v>
      </c>
    </row>
    <row r="8" customFormat="false" ht="15" hidden="false" customHeight="false" outlineLevel="0" collapsed="false">
      <c r="A8" s="0" t="s">
        <v>14</v>
      </c>
      <c r="B8" s="2" t="n">
        <v>22000</v>
      </c>
      <c r="C8" s="0" t="s">
        <v>15</v>
      </c>
    </row>
    <row r="9" customFormat="false" ht="15" hidden="false" customHeight="false" outlineLevel="0" collapsed="false">
      <c r="A9" s="0" t="s">
        <v>16</v>
      </c>
      <c r="B9" s="2" t="n">
        <v>800</v>
      </c>
      <c r="C9" s="0" t="s">
        <v>15</v>
      </c>
    </row>
    <row r="10" customFormat="false" ht="15" hidden="false" customHeight="false" outlineLevel="0" collapsed="false">
      <c r="A10" s="0" t="s">
        <v>17</v>
      </c>
      <c r="B10" s="2" t="n">
        <v>50000</v>
      </c>
      <c r="C10" s="0" t="s">
        <v>15</v>
      </c>
    </row>
    <row r="11" customFormat="false" ht="15" hidden="false" customHeight="false" outlineLevel="0" collapsed="false">
      <c r="A11" s="0" t="s">
        <v>18</v>
      </c>
      <c r="B11" s="2" t="n">
        <v>60</v>
      </c>
      <c r="C11" s="0" t="s">
        <v>19</v>
      </c>
    </row>
    <row r="12" customFormat="false" ht="15" hidden="false" customHeight="false" outlineLevel="0" collapsed="false">
      <c r="A12" s="0" t="s">
        <v>20</v>
      </c>
      <c r="B12" s="2" t="n">
        <v>10000</v>
      </c>
      <c r="C12" s="0" t="s">
        <v>21</v>
      </c>
    </row>
    <row r="13" customFormat="false" ht="15" hidden="false" customHeight="false" outlineLevel="0" collapsed="false">
      <c r="A13" s="0" t="s">
        <v>22</v>
      </c>
      <c r="B13" s="2" t="n">
        <v>20000</v>
      </c>
      <c r="C13" s="0" t="s">
        <v>21</v>
      </c>
    </row>
    <row r="14" customFormat="false" ht="15" hidden="false" customHeight="false" outlineLevel="0" collapsed="false">
      <c r="A14" s="0" t="s">
        <v>23</v>
      </c>
      <c r="B14" s="2" t="n">
        <v>1.1</v>
      </c>
      <c r="C14" s="0" t="s">
        <v>24</v>
      </c>
    </row>
    <row r="15" customFormat="false" ht="15" hidden="false" customHeight="false" outlineLevel="0" collapsed="false">
      <c r="A15" s="0" t="s">
        <v>25</v>
      </c>
      <c r="B15" s="2" t="n">
        <v>0.025</v>
      </c>
      <c r="C15" s="0" t="s">
        <v>26</v>
      </c>
    </row>
    <row r="16" customFormat="false" ht="15" hidden="false" customHeight="false" outlineLevel="0" collapsed="false">
      <c r="A16" s="0" t="s">
        <v>27</v>
      </c>
      <c r="B16" s="2" t="n">
        <v>350</v>
      </c>
      <c r="C16" s="0" t="s">
        <v>28</v>
      </c>
    </row>
    <row r="17" customFormat="false" ht="15" hidden="false" customHeight="false" outlineLevel="0" collapsed="false">
      <c r="A17" s="0" t="s">
        <v>29</v>
      </c>
      <c r="B17" s="2" t="n">
        <v>0.5</v>
      </c>
      <c r="C17" s="0" t="s">
        <v>30</v>
      </c>
    </row>
    <row r="18" customFormat="false" ht="15" hidden="false" customHeight="false" outlineLevel="0" collapsed="false">
      <c r="A18" s="0" t="s">
        <v>31</v>
      </c>
      <c r="B18" s="2" t="n">
        <v>179</v>
      </c>
      <c r="C18" s="0" t="s">
        <v>32</v>
      </c>
    </row>
    <row r="20" customFormat="false" ht="15" hidden="false" customHeight="false" outlineLevel="0" collapsed="false">
      <c r="A20" s="0" t="s">
        <v>33</v>
      </c>
      <c r="B20" s="3" t="n">
        <f aca="false">(B8*(1-B7)*B3 + B8*B7*B5*B3 + B9*B4)/1000000*B2</f>
        <v>0.061914</v>
      </c>
      <c r="C20" s="0" t="s">
        <v>34</v>
      </c>
    </row>
    <row r="21" customFormat="false" ht="15" hidden="false" customHeight="false" outlineLevel="0" collapsed="false">
      <c r="A21" s="0" t="s">
        <v>35</v>
      </c>
      <c r="B21" s="3" t="n">
        <f aca="false">B10*B3/1000000*B2</f>
        <v>0.255</v>
      </c>
      <c r="C21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5" min="3" style="0" width="12"/>
    <col collapsed="false" customWidth="true" hidden="false" outlineLevel="0" max="6" min="6" style="0" width="64"/>
  </cols>
  <sheetData>
    <row r="1" customFormat="false" ht="15" hidden="false" customHeight="false" outlineLevel="0" collapsed="false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</row>
    <row r="2" customFormat="false" ht="15" hidden="false" customHeight="false" outlineLevel="0" collapsed="false">
      <c r="A2" s="0" t="s">
        <v>43</v>
      </c>
      <c r="B2" s="0" t="s">
        <v>44</v>
      </c>
      <c r="C2" s="0" t="n">
        <v>150</v>
      </c>
      <c r="D2" s="0" t="n">
        <v>800</v>
      </c>
      <c r="E2" s="0" t="s">
        <v>45</v>
      </c>
      <c r="F2" s="0" t="s">
        <v>46</v>
      </c>
    </row>
    <row r="3" customFormat="false" ht="15" hidden="false" customHeight="false" outlineLevel="0" collapsed="false">
      <c r="A3" s="0" t="s">
        <v>47</v>
      </c>
      <c r="B3" s="0" t="s">
        <v>44</v>
      </c>
      <c r="C3" s="0" t="n">
        <v>1800</v>
      </c>
      <c r="D3" s="0" t="n">
        <v>3500</v>
      </c>
      <c r="E3" s="0" t="s">
        <v>48</v>
      </c>
      <c r="F3" s="0" t="s">
        <v>49</v>
      </c>
    </row>
    <row r="4" customFormat="false" ht="15" hidden="false" customHeight="false" outlineLevel="0" collapsed="false">
      <c r="A4" s="0" t="s">
        <v>50</v>
      </c>
      <c r="B4" s="0" t="s">
        <v>44</v>
      </c>
      <c r="C4" s="0" t="n">
        <v>4000</v>
      </c>
      <c r="D4" s="0" t="n">
        <v>8000</v>
      </c>
      <c r="E4" s="0" t="s">
        <v>51</v>
      </c>
      <c r="F4" s="0" t="s">
        <v>52</v>
      </c>
    </row>
    <row r="5" customFormat="false" ht="15" hidden="false" customHeight="false" outlineLevel="0" collapsed="false">
      <c r="A5" s="0" t="s">
        <v>53</v>
      </c>
      <c r="B5" s="0" t="s">
        <v>44</v>
      </c>
      <c r="C5" s="0" t="n">
        <v>10000</v>
      </c>
      <c r="D5" s="0" t="n">
        <v>10000</v>
      </c>
      <c r="E5" s="0" t="s">
        <v>54</v>
      </c>
      <c r="F5" s="0" t="s">
        <v>55</v>
      </c>
    </row>
    <row r="6" customFormat="false" ht="15" hidden="false" customHeight="false" outlineLevel="0" collapsed="false">
      <c r="A6" s="0" t="s">
        <v>56</v>
      </c>
      <c r="B6" s="0" t="s">
        <v>44</v>
      </c>
      <c r="C6" s="0" t="n">
        <v>20000</v>
      </c>
      <c r="D6" s="0" t="n">
        <v>20000</v>
      </c>
      <c r="E6" s="0" t="s">
        <v>54</v>
      </c>
      <c r="F6" s="0" t="s">
        <v>57</v>
      </c>
    </row>
    <row r="7" customFormat="false" ht="15" hidden="false" customHeight="false" outlineLevel="0" collapsed="false">
      <c r="A7" s="0" t="s">
        <v>58</v>
      </c>
      <c r="B7" s="0" t="s">
        <v>59</v>
      </c>
      <c r="C7" s="0" t="n">
        <v>60</v>
      </c>
      <c r="D7" s="0" t="n">
        <v>60</v>
      </c>
      <c r="E7" s="0" t="s">
        <v>54</v>
      </c>
      <c r="F7" s="0" t="s">
        <v>60</v>
      </c>
    </row>
    <row r="8" customFormat="false" ht="15" hidden="false" customHeight="false" outlineLevel="0" collapsed="false">
      <c r="A8" s="0" t="s">
        <v>61</v>
      </c>
      <c r="B8" s="0" t="s">
        <v>62</v>
      </c>
      <c r="C8" s="0" t="n">
        <v>0.052</v>
      </c>
      <c r="D8" s="0" t="n">
        <v>0.072</v>
      </c>
      <c r="E8" s="0" t="s">
        <v>48</v>
      </c>
      <c r="F8" s="0" t="s">
        <v>63</v>
      </c>
    </row>
    <row r="9" customFormat="false" ht="15" hidden="false" customHeight="false" outlineLevel="0" collapsed="false">
      <c r="A9" s="0" t="s">
        <v>64</v>
      </c>
      <c r="B9" s="0" t="s">
        <v>62</v>
      </c>
      <c r="C9" s="0" t="n">
        <v>0.255</v>
      </c>
      <c r="D9" s="0" t="n">
        <v>0.255</v>
      </c>
      <c r="E9" s="0" t="s">
        <v>48</v>
      </c>
      <c r="F9" s="0" t="s">
        <v>65</v>
      </c>
    </row>
    <row r="10" customFormat="false" ht="15" hidden="false" customHeight="false" outlineLevel="0" collapsed="false">
      <c r="A10" s="0" t="s">
        <v>66</v>
      </c>
      <c r="B10" s="0" t="s">
        <v>67</v>
      </c>
      <c r="C10" s="0" t="n">
        <v>0.1</v>
      </c>
      <c r="D10" s="0" t="n">
        <v>0.25</v>
      </c>
      <c r="E10" s="0" t="s">
        <v>48</v>
      </c>
      <c r="F10" s="0" t="s">
        <v>68</v>
      </c>
    </row>
    <row r="11" customFormat="false" ht="15" hidden="false" customHeight="false" outlineLevel="0" collapsed="false">
      <c r="A11" s="0" t="s">
        <v>69</v>
      </c>
      <c r="B11" s="0" t="s">
        <v>67</v>
      </c>
      <c r="C11" s="0" t="n">
        <v>0.001</v>
      </c>
      <c r="D11" s="0" t="n">
        <v>0.001</v>
      </c>
      <c r="E11" s="0" t="s">
        <v>54</v>
      </c>
      <c r="F11" s="0" t="s">
        <v>70</v>
      </c>
    </row>
    <row r="12" customFormat="false" ht="15" hidden="false" customHeight="false" outlineLevel="0" collapsed="false">
      <c r="A12" s="0" t="s">
        <v>71</v>
      </c>
      <c r="B12" s="0" t="s">
        <v>72</v>
      </c>
      <c r="C12" s="0" t="n">
        <v>0.1</v>
      </c>
      <c r="D12" s="0" t="n">
        <v>0.14</v>
      </c>
      <c r="E12" s="0" t="s">
        <v>45</v>
      </c>
      <c r="F12" s="0" t="s">
        <v>73</v>
      </c>
    </row>
    <row r="13" customFormat="false" ht="15" hidden="false" customHeight="false" outlineLevel="0" collapsed="false">
      <c r="A13" s="0" t="s">
        <v>74</v>
      </c>
      <c r="B13" s="0" t="s">
        <v>72</v>
      </c>
      <c r="C13" s="0" t="n">
        <v>90</v>
      </c>
      <c r="D13" s="0" t="n">
        <v>548</v>
      </c>
      <c r="E13" s="0" t="s">
        <v>45</v>
      </c>
      <c r="F13" s="0" t="s">
        <v>75</v>
      </c>
    </row>
    <row r="14" customFormat="false" ht="15" hidden="false" customHeight="false" outlineLevel="0" collapsed="false">
      <c r="A14" s="0" t="s">
        <v>76</v>
      </c>
      <c r="B14" s="0" t="s">
        <v>72</v>
      </c>
      <c r="C14" s="0" t="n">
        <v>150</v>
      </c>
      <c r="D14" s="0" t="n">
        <v>250</v>
      </c>
      <c r="E14" s="0" t="s">
        <v>48</v>
      </c>
      <c r="F14" s="0" t="s">
        <v>77</v>
      </c>
    </row>
    <row r="15" customFormat="false" ht="15" hidden="false" customHeight="false" outlineLevel="0" collapsed="false">
      <c r="A15" s="0" t="s">
        <v>78</v>
      </c>
      <c r="B15" s="0" t="s">
        <v>72</v>
      </c>
      <c r="C15" s="0" t="n">
        <v>40000</v>
      </c>
      <c r="D15" s="0" t="n">
        <v>70000</v>
      </c>
      <c r="E15" s="0" t="s">
        <v>54</v>
      </c>
      <c r="F15" s="0" t="s">
        <v>79</v>
      </c>
    </row>
    <row r="16" customFormat="false" ht="15" hidden="false" customHeight="false" outlineLevel="0" collapsed="false">
      <c r="A16" s="0" t="s">
        <v>80</v>
      </c>
      <c r="B16" s="0" t="s">
        <v>72</v>
      </c>
      <c r="C16" s="0" t="n">
        <v>150000</v>
      </c>
      <c r="D16" s="0" t="n">
        <v>300000</v>
      </c>
      <c r="E16" s="0" t="s">
        <v>51</v>
      </c>
      <c r="F16" s="0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19" min="2" style="0" width="15"/>
  </cols>
  <sheetData>
    <row r="1" customFormat="false" ht="39.15" hidden="false" customHeight="false" outlineLevel="0" collapsed="false">
      <c r="A1" s="4" t="s">
        <v>82</v>
      </c>
      <c r="B1" s="4" t="s">
        <v>83</v>
      </c>
      <c r="C1" s="4" t="s">
        <v>84</v>
      </c>
      <c r="D1" s="4" t="s">
        <v>85</v>
      </c>
      <c r="E1" s="4" t="s">
        <v>86</v>
      </c>
      <c r="F1" s="4" t="s">
        <v>87</v>
      </c>
      <c r="G1" s="4" t="s">
        <v>88</v>
      </c>
      <c r="H1" s="4" t="s">
        <v>89</v>
      </c>
      <c r="I1" s="4" t="s">
        <v>90</v>
      </c>
      <c r="J1" s="4" t="s">
        <v>91</v>
      </c>
      <c r="K1" s="4" t="s">
        <v>92</v>
      </c>
      <c r="L1" s="4" t="s">
        <v>93</v>
      </c>
      <c r="M1" s="4" t="s">
        <v>94</v>
      </c>
      <c r="N1" s="4" t="s">
        <v>95</v>
      </c>
      <c r="O1" s="4" t="s">
        <v>96</v>
      </c>
      <c r="P1" s="4" t="s">
        <v>97</v>
      </c>
      <c r="Q1" s="4" t="s">
        <v>98</v>
      </c>
      <c r="R1" s="4" t="s">
        <v>99</v>
      </c>
      <c r="S1" s="4" t="s">
        <v>100</v>
      </c>
    </row>
    <row r="2" customFormat="false" ht="15" hidden="false" customHeight="false" outlineLevel="0" collapsed="false">
      <c r="A2" s="0" t="s">
        <v>101</v>
      </c>
      <c r="B2" s="0" t="s">
        <v>102</v>
      </c>
      <c r="C2" s="2" t="n">
        <v>129</v>
      </c>
      <c r="D2" s="0" t="n">
        <v>30</v>
      </c>
      <c r="E2" s="0" t="n">
        <v>1.5</v>
      </c>
      <c r="F2" s="0" t="n">
        <v>1</v>
      </c>
      <c r="G2" s="0" t="n">
        <v>2</v>
      </c>
      <c r="H2" s="0" t="n">
        <v>100</v>
      </c>
      <c r="I2" s="0" t="n">
        <v>10</v>
      </c>
      <c r="J2" s="0" t="s">
        <v>103</v>
      </c>
      <c r="K2" s="0" t="n">
        <v>3</v>
      </c>
      <c r="L2" s="0" t="n">
        <v>0.25</v>
      </c>
      <c r="M2" s="0" t="n">
        <v>0</v>
      </c>
      <c r="N2" s="2" t="n">
        <v>8</v>
      </c>
      <c r="O2" s="3" t="n">
        <f aca="false">C2/D2</f>
        <v>4.3</v>
      </c>
      <c r="P2" s="3" t="n">
        <f aca="false">H2*Premissas!B20+I2*Premissas!B21</f>
        <v>8.7414</v>
      </c>
      <c r="Q2" s="3" t="n">
        <f aca="false">L2*Premissas!B11+M2*Premissas!B11/12</f>
        <v>15</v>
      </c>
      <c r="R2" s="3" t="n">
        <f aca="false">P2+Q2+N2</f>
        <v>31.7414</v>
      </c>
      <c r="S2" s="5" t="n">
        <f aca="false">(C2-R2)/C2</f>
        <v>0.753942635658915</v>
      </c>
    </row>
    <row r="3" customFormat="false" ht="15" hidden="false" customHeight="false" outlineLevel="0" collapsed="false">
      <c r="A3" s="0" t="s">
        <v>104</v>
      </c>
      <c r="B3" s="0" t="s">
        <v>105</v>
      </c>
      <c r="C3" s="2" t="n">
        <v>349</v>
      </c>
      <c r="D3" s="0" t="n">
        <v>300</v>
      </c>
      <c r="E3" s="0" t="n">
        <v>1</v>
      </c>
      <c r="F3" s="0" t="n">
        <v>3</v>
      </c>
      <c r="G3" s="0" t="n">
        <v>5</v>
      </c>
      <c r="H3" s="0" t="n">
        <v>500</v>
      </c>
      <c r="I3" s="0" t="n">
        <v>50</v>
      </c>
      <c r="J3" s="0" t="s">
        <v>103</v>
      </c>
      <c r="K3" s="0" t="n">
        <v>12</v>
      </c>
      <c r="L3" s="0" t="n">
        <v>1</v>
      </c>
      <c r="M3" s="0" t="n">
        <v>1</v>
      </c>
      <c r="N3" s="2" t="n">
        <v>15</v>
      </c>
      <c r="O3" s="3" t="n">
        <f aca="false">C3/D3</f>
        <v>1.16333333333333</v>
      </c>
      <c r="P3" s="3" t="n">
        <f aca="false">H3*Premissas!B20+I3*Premissas!B21</f>
        <v>43.707</v>
      </c>
      <c r="Q3" s="3" t="n">
        <f aca="false">L3*Premissas!B11+M3*Premissas!B11/12</f>
        <v>65</v>
      </c>
      <c r="R3" s="3" t="n">
        <f aca="false">P3+Q3+N3</f>
        <v>123.707</v>
      </c>
      <c r="S3" s="5" t="n">
        <f aca="false">(C3-R3)/C3</f>
        <v>0.645538681948424</v>
      </c>
    </row>
    <row r="4" customFormat="false" ht="15" hidden="false" customHeight="false" outlineLevel="0" collapsed="false">
      <c r="A4" s="0" t="s">
        <v>106</v>
      </c>
      <c r="B4" s="0" t="s">
        <v>107</v>
      </c>
      <c r="C4" s="2" t="n">
        <v>899</v>
      </c>
      <c r="D4" s="0" t="n">
        <v>1500</v>
      </c>
      <c r="E4" s="0" t="n">
        <v>0.7</v>
      </c>
      <c r="F4" s="0" t="n">
        <v>10</v>
      </c>
      <c r="G4" s="0" t="n">
        <v>15</v>
      </c>
      <c r="H4" s="0" t="n">
        <v>2000</v>
      </c>
      <c r="I4" s="0" t="n">
        <v>200</v>
      </c>
      <c r="J4" s="0" t="s">
        <v>108</v>
      </c>
      <c r="K4" s="0" t="n">
        <v>24</v>
      </c>
      <c r="L4" s="0" t="n">
        <v>2</v>
      </c>
      <c r="M4" s="0" t="n">
        <v>4</v>
      </c>
      <c r="N4" s="2" t="n">
        <v>30</v>
      </c>
      <c r="O4" s="3" t="n">
        <f aca="false">C4/D4</f>
        <v>0.599333333333333</v>
      </c>
      <c r="P4" s="3" t="n">
        <f aca="false">H4*Premissas!B20+I4*Premissas!B21</f>
        <v>174.828</v>
      </c>
      <c r="Q4" s="3" t="n">
        <f aca="false">L4*Premissas!B11+M4*Premissas!B11/12</f>
        <v>140</v>
      </c>
      <c r="R4" s="3" t="n">
        <f aca="false">P4+Q4+N4</f>
        <v>344.828</v>
      </c>
      <c r="S4" s="5" t="n">
        <f aca="false">(C4-R4)/C4</f>
        <v>0.616431590656285</v>
      </c>
    </row>
    <row r="5" customFormat="false" ht="15" hidden="false" customHeight="false" outlineLevel="0" collapsed="false">
      <c r="A5" s="0" t="s">
        <v>109</v>
      </c>
      <c r="B5" s="0" t="s">
        <v>110</v>
      </c>
      <c r="C5" s="2" t="n">
        <v>1990</v>
      </c>
      <c r="D5" s="0" t="n">
        <v>5000</v>
      </c>
      <c r="E5" s="0" t="n">
        <v>0.45</v>
      </c>
      <c r="F5" s="0" t="s">
        <v>111</v>
      </c>
      <c r="G5" s="0" t="s">
        <v>111</v>
      </c>
      <c r="H5" s="0" t="n">
        <v>5000</v>
      </c>
      <c r="I5" s="0" t="n">
        <v>500</v>
      </c>
      <c r="J5" s="0" t="s">
        <v>108</v>
      </c>
      <c r="K5" s="0" t="n">
        <v>60</v>
      </c>
      <c r="L5" s="0" t="n">
        <v>5</v>
      </c>
      <c r="M5" s="0" t="n">
        <v>16</v>
      </c>
      <c r="N5" s="2" t="n">
        <v>60</v>
      </c>
      <c r="O5" s="3" t="n">
        <f aca="false">C5/D5</f>
        <v>0.398</v>
      </c>
      <c r="P5" s="3" t="n">
        <f aca="false">H5*Premissas!B20+I5*Premissas!B21</f>
        <v>437.07</v>
      </c>
      <c r="Q5" s="3" t="n">
        <f aca="false">L5*Premissas!B11+M5*Premissas!B11/12</f>
        <v>380</v>
      </c>
      <c r="R5" s="3" t="n">
        <f aca="false">P5+Q5+N5</f>
        <v>877.07</v>
      </c>
      <c r="S5" s="5" t="n">
        <f aca="false">(C5-R5)/C5</f>
        <v>0.559261306532663</v>
      </c>
    </row>
    <row r="7" customFormat="false" ht="15" hidden="false" customHeight="false" outlineLevel="0" collapsed="false">
      <c r="A7" s="0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0" width="34"/>
    <col collapsed="false" customWidth="true" hidden="false" outlineLevel="0" max="5" min="3" style="0" width="15"/>
  </cols>
  <sheetData>
    <row r="1" customFormat="false" ht="15" hidden="false" customHeight="false" outlineLevel="0" collapsed="false">
      <c r="A1" s="1" t="s">
        <v>113</v>
      </c>
    </row>
    <row r="2" customFormat="false" ht="15" hidden="false" customHeight="false" outlineLevel="0" collapsed="false">
      <c r="B2" s="0" t="s">
        <v>82</v>
      </c>
      <c r="C2" s="1" t="s">
        <v>114</v>
      </c>
      <c r="D2" s="1" t="s">
        <v>115</v>
      </c>
      <c r="E2" s="1" t="s">
        <v>116</v>
      </c>
    </row>
    <row r="3" customFormat="false" ht="15" hidden="false" customHeight="false" outlineLevel="0" collapsed="false">
      <c r="B3" s="0" t="s">
        <v>101</v>
      </c>
      <c r="C3" s="2" t="n">
        <v>15</v>
      </c>
      <c r="D3" s="2" t="n">
        <v>40</v>
      </c>
      <c r="E3" s="2" t="n">
        <v>80</v>
      </c>
    </row>
    <row r="4" customFormat="false" ht="15" hidden="false" customHeight="false" outlineLevel="0" collapsed="false">
      <c r="B4" s="0" t="s">
        <v>104</v>
      </c>
      <c r="C4" s="2" t="n">
        <v>8</v>
      </c>
      <c r="D4" s="2" t="n">
        <v>30</v>
      </c>
      <c r="E4" s="2" t="n">
        <v>70</v>
      </c>
    </row>
    <row r="5" customFormat="false" ht="15" hidden="false" customHeight="false" outlineLevel="0" collapsed="false">
      <c r="B5" s="0" t="s">
        <v>106</v>
      </c>
      <c r="C5" s="2" t="n">
        <v>2</v>
      </c>
      <c r="D5" s="2" t="n">
        <v>8</v>
      </c>
      <c r="E5" s="2" t="n">
        <v>20</v>
      </c>
    </row>
    <row r="6" customFormat="false" ht="15" hidden="false" customHeight="false" outlineLevel="0" collapsed="false">
      <c r="B6" s="0" t="s">
        <v>109</v>
      </c>
      <c r="C6" s="2" t="n">
        <v>0</v>
      </c>
      <c r="D6" s="2" t="n">
        <v>2</v>
      </c>
      <c r="E6" s="2" t="n">
        <v>6</v>
      </c>
    </row>
    <row r="7" customFormat="false" ht="15" hidden="false" customHeight="false" outlineLevel="0" collapsed="false">
      <c r="B7" s="0" t="s">
        <v>117</v>
      </c>
      <c r="C7" s="2" t="n">
        <v>0</v>
      </c>
      <c r="D7" s="2" t="n">
        <v>0</v>
      </c>
      <c r="E7" s="2" t="n">
        <v>15</v>
      </c>
    </row>
    <row r="9" customFormat="false" ht="15" hidden="false" customHeight="false" outlineLevel="0" collapsed="false">
      <c r="B9" s="1" t="s">
        <v>118</v>
      </c>
      <c r="C9" s="6" t="n">
        <f aca="false">SUMPRODUCT(C3:C6,Planos!C2:C5)</f>
        <v>6525</v>
      </c>
      <c r="D9" s="6" t="n">
        <f aca="false">SUMPRODUCT(D3:D6,Planos!C2:C5)</f>
        <v>26802</v>
      </c>
      <c r="E9" s="6" t="n">
        <f aca="false">SUMPRODUCT(E3:E6,Planos!C2:C5)</f>
        <v>64670</v>
      </c>
    </row>
    <row r="10" customFormat="false" ht="15" hidden="false" customHeight="false" outlineLevel="0" collapsed="false">
      <c r="B10" s="1" t="s">
        <v>119</v>
      </c>
      <c r="C10" s="6" t="n">
        <f aca="false">C7*(Premissas!B18+Premissas!B16*Premissas!B17)</f>
        <v>0</v>
      </c>
      <c r="D10" s="6" t="n">
        <f aca="false">D7*(Premissas!B18+Premissas!B16*Premissas!B17)</f>
        <v>0</v>
      </c>
      <c r="E10" s="6" t="n">
        <f aca="false">E7*(Premissas!B18+Premissas!B16*Premissas!B17)</f>
        <v>5310</v>
      </c>
    </row>
    <row r="11" customFormat="false" ht="15" hidden="false" customHeight="false" outlineLevel="0" collapsed="false">
      <c r="B11" s="1" t="s">
        <v>120</v>
      </c>
      <c r="C11" s="6" t="n">
        <f aca="false">C9*Premissas!B14+C10</f>
        <v>7177.5</v>
      </c>
      <c r="D11" s="6" t="n">
        <f aca="false">D9*Premissas!B14+D10</f>
        <v>29482.2</v>
      </c>
      <c r="E11" s="6" t="n">
        <f aca="false">E9*Premissas!B14+E10</f>
        <v>76447</v>
      </c>
    </row>
    <row r="12" customFormat="false" ht="15" hidden="false" customHeight="false" outlineLevel="0" collapsed="false">
      <c r="B12" s="1" t="s">
        <v>121</v>
      </c>
      <c r="C12" s="6" t="n">
        <f aca="false">SUMPRODUCT(C3:C6,Planos!R2:R5)</f>
        <v>2155.433</v>
      </c>
      <c r="D12" s="6" t="n">
        <f aca="false">SUMPRODUCT(D3:D6,Planos!R2:R5)</f>
        <v>9493.63</v>
      </c>
      <c r="E12" s="6" t="n">
        <f aca="false">SUMPRODUCT(E3:E6,Planos!R2:R5)</f>
        <v>23357.782</v>
      </c>
    </row>
    <row r="13" customFormat="false" ht="15" hidden="false" customHeight="false" outlineLevel="0" collapsed="false">
      <c r="B13" s="1" t="s">
        <v>122</v>
      </c>
      <c r="C13" s="6" t="n">
        <f aca="false">Premissas!B12</f>
        <v>10000</v>
      </c>
      <c r="D13" s="6" t="n">
        <f aca="false">Premissas!B12</f>
        <v>10000</v>
      </c>
      <c r="E13" s="6" t="n">
        <f aca="false">Premissas!B12</f>
        <v>10000</v>
      </c>
    </row>
    <row r="14" customFormat="false" ht="15" hidden="false" customHeight="false" outlineLevel="0" collapsed="false">
      <c r="B14" s="1" t="s">
        <v>123</v>
      </c>
      <c r="C14" s="6" t="n">
        <f aca="false">C11-C12-C13</f>
        <v>-4977.933</v>
      </c>
      <c r="D14" s="6" t="n">
        <f aca="false">D11-D12-D13</f>
        <v>9988.57</v>
      </c>
      <c r="E14" s="6" t="n">
        <f aca="false">E11-E12-E13</f>
        <v>43089.218</v>
      </c>
    </row>
    <row r="15" customFormat="false" ht="15" hidden="false" customHeight="false" outlineLevel="0" collapsed="false">
      <c r="B15" s="1" t="s">
        <v>124</v>
      </c>
      <c r="C15" s="6" t="n">
        <f aca="false">C14-Premissas!B13</f>
        <v>-24977.933</v>
      </c>
      <c r="D15" s="6" t="n">
        <f aca="false">D14-Premissas!B13</f>
        <v>-10011.43</v>
      </c>
      <c r="E15" s="6" t="n">
        <f aca="false">E14-Premissas!B13</f>
        <v>23089.218</v>
      </c>
    </row>
    <row r="16" customFormat="false" ht="15" hidden="false" customHeight="false" outlineLevel="0" collapsed="false">
      <c r="B16" s="1" t="s">
        <v>125</v>
      </c>
      <c r="C16" s="5" t="n">
        <f aca="false">IF(C11=0,0,(C11-C12)/C11)</f>
        <v>0.699695855102752</v>
      </c>
      <c r="D16" s="5" t="n">
        <f aca="false">IF(D11=0,0,(D11-D12)/D11)</f>
        <v>0.677987734972288</v>
      </c>
      <c r="E16" s="5" t="n">
        <f aca="false">IF(E11=0,0,(E11-E12)/E11)</f>
        <v>0.694457833531728</v>
      </c>
    </row>
    <row r="18" customFormat="false" ht="15" hidden="false" customHeight="false" outlineLevel="0" collapsed="false">
      <c r="B18" s="1" t="s">
        <v>126</v>
      </c>
      <c r="D18" s="6" t="n">
        <f aca="false">IF(D16=0,0,Premissas!B12/D16)</f>
        <v>14749.529356027</v>
      </c>
    </row>
    <row r="19" customFormat="false" ht="15" hidden="false" customHeight="false" outlineLevel="0" collapsed="false">
      <c r="B19" s="1" t="s">
        <v>127</v>
      </c>
      <c r="D19" s="6" t="n">
        <f aca="false">IF(D16=0,0,(Premissas!B12+Premissas!B13)/D16)</f>
        <v>44248.5880680809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2026-07-16T22:19:24Z</dcterms:created>
  <dc:creator>openpyxl</dc:creator>
  <dc:description/>
  <dc:language>en-US</dc:language>
  <cp:lastModifiedBy/>
  <dcterms:modified xsi:type="dcterms:W3CDTF">2026-07-16T22:19:24Z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